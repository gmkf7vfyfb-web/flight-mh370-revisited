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7d8ed9ec1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ac034d1c5e43f2"/>
    <x:sheet xmlns:r="http://schemas.openxmlformats.org/officeDocument/2006/relationships" name="Results" sheetId="2" r:id="R2764d39913544b83"/>
    <x:sheet xmlns:r="http://schemas.openxmlformats.org/officeDocument/2006/relationships" name="Control Hypotheses" sheetId="3" r:id="Rcc913ad8fdf344ad"/>
    <x:sheet xmlns:r="http://schemas.openxmlformats.org/officeDocument/2006/relationships" name="Sensitivity" sheetId="4" r:id="R4eb44e30f9404c06"/>
    <x:sheet xmlns:r="http://schemas.openxmlformats.org/officeDocument/2006/relationships" name="Terminal Scenarios" sheetId="5" r:id="R753acc72ef3c48ac"/>
    <x:sheet xmlns:r="http://schemas.openxmlformats.org/officeDocument/2006/relationships" name="Assumptions" sheetId="6" r:id="Re3ea24e6e4ef4acf"/>
    <x:sheet xmlns:r="http://schemas.openxmlformats.org/officeDocument/2006/relationships" name="Sources &amp; Limits" sheetId="7" r:id="Rce9f1a5dab87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%"/>
    <x:numFmt numFmtId="203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i/>
      <x:sz val="11"/>
      <x:color rgb="FF425466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0B1F33"/>
      </x:patternFill>
    </x:fill>
    <x:fill>
      <x:patternFill patternType="solid">
        <x:fgColor rgb="FFEAF1F8"/>
      </x:patternFill>
    </x:fill>
    <x:fill>
      <x:patternFill patternType="solid">
        <x:fgColor rgb="FF2C7A7B"/>
      </x:patternFill>
    </x:fill>
    <x:fill>
      <x:patternFill patternType="solid">
        <x:fgColor rgb="FF6B4F8A"/>
      </x:patternFill>
    </x:fill>
    <x:fill>
      <x:patternFill patternType="solid">
        <x:fgColor rgb="FFF3F6FA"/>
      </x:patternFill>
    </x:fill>
    <x:fill>
      <x:patternFill patternType="solid">
        <x:fgColor rgb="FF7A2E2E"/>
      </x:patternFill>
    </x:fill>
  </x:fills>
  <x:borders count="2">
    <x:border/>
    <x:border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88cb36c994c3d" /><Relationship Type="http://schemas.openxmlformats.org/officeDocument/2006/relationships/theme" Target="/xl/theme/theme1.xml" Id="R105597ac379442ec" /><Relationship Type="http://schemas.openxmlformats.org/officeDocument/2006/relationships/sharedStrings" Target="/xl/sharedStrings.xml" Id="R1e1b8d6ccb3c487e" /><Relationship Type="http://schemas.openxmlformats.org/officeDocument/2006/relationships/worksheet" Target="/xl/worksheets/sheet1.xml" Id="Racac034d1c5e43f2" /><Relationship Type="http://schemas.openxmlformats.org/officeDocument/2006/relationships/worksheet" Target="/xl/worksheets/sheet2.xml" Id="R2764d39913544b83" /><Relationship Type="http://schemas.openxmlformats.org/officeDocument/2006/relationships/worksheet" Target="/xl/worksheets/sheet3.xml" Id="Rcc913ad8fdf344ad" /><Relationship Type="http://schemas.openxmlformats.org/officeDocument/2006/relationships/worksheet" Target="/xl/worksheets/sheet4.xml" Id="R4eb44e30f9404c06" /><Relationship Type="http://schemas.openxmlformats.org/officeDocument/2006/relationships/worksheet" Target="/xl/worksheets/sheet5.xml" Id="R753acc72ef3c48ac" /><Relationship Type="http://schemas.openxmlformats.org/officeDocument/2006/relationships/worksheet" Target="/xl/worksheets/sheet6.xml" Id="Re3ea24e6e4ef4acf" /><Relationship Type="http://schemas.openxmlformats.org/officeDocument/2006/relationships/worksheet" Target="/xl/worksheets/sheet7.xml" Id="Rce9f1a5dab87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73f57e3d534ee4" /><Relationship Type="http://schemas.openxmlformats.org/officeDocument/2006/relationships/chart" Target="/xl/drawings/charts/chart2.xml" Id="Ra369cc4d33d645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00:11 control families remain viable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Posterior probability</c:v>
          </c:tx>
          <c:cat>
            <c:strRef>
              <c:f>'Summary'!$A$16:$A$18</c:f>
              <c:strCache>
                <c:ptCount val="0"/>
              </c:strCache>
            </c:strRef>
          </c:cat>
          <c:val>
            <c:numRef>
              <c:f>'Summary'!$B$16:$B$18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Impact median is insensitive to tested priors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Impact median latitude (°)</c:v>
          </c:tx>
          <c:cat>
            <c:strRef>
              <c:f>'Summary'!$A$22:$A$28</c:f>
              <c:strCache>
                <c:ptCount val="0"/>
              </c:strCache>
            </c:strRef>
          </c:cat>
          <c:val>
            <c:numRef>
              <c:f>'Summary'!$B$22:$B$28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-36.5"/>
          <c:min val="-37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73f57e3d534ee4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69cc4d33d645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b700cf5dfd4bc7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2" customHeight="1">
      <x:c r="A1" s="18" t="str">
        <x:v>MH370 Stage-1 Integrated Bayesian Estimate — Through 00:11 UTC</x:v>
      </x:c>
      <x:c r="B1" s="18"/>
      <x:c r="C1" s="18"/>
      <x:c r="D1" s="18"/>
      <x:c r="E1" s="18"/>
      <x:c r="F1" s="18"/>
      <x:c r="G1" s="18"/>
      <x:c r="H1" s="18"/>
    </x:row>
    <x:row r="2" ht="28" customHeight="1">
      <x:c r="A2" s="20" t="str">
        <x:v>BTO + BFO + received power/3-D gain + aircraft performance + terminal flight + model-averaged ocean drift. No 00:19 likelihood.</x:v>
      </x:c>
      <x:c r="B2" s="20"/>
      <x:c r="C2" s="20"/>
      <x:c r="D2" s="20"/>
      <x:c r="E2" s="20"/>
      <x:c r="F2" s="20"/>
      <x:c r="G2" s="20"/>
      <x:c r="H2" s="20"/>
    </x:row>
    <x:row r="4">
      <x:c r="A4" s="2" t="str">
        <x:v>Primary integrated impact posterior</x:v>
      </x:c>
      <x:c r="B4" s="2" t="str">
        <x:v>Value</x:v>
      </x:c>
    </x:row>
    <x:row r="5">
      <x:c r="A5" s="22" t="str">
        <x:v>2-D mode latitude (°)</x:v>
      </x:c>
      <x:c r="B5" s="23" t="n">
        <x:f>Results!C4</x:f>
        <x:v>-37.2625</x:v>
      </x:c>
    </x:row>
    <x:row r="6">
      <x:c r="A6" s="22" t="str">
        <x:v>2-D mode longitude (°E)</x:v>
      </x:c>
      <x:c r="B6" s="23" t="n">
        <x:f>Results!D4</x:f>
        <x:v>89.2375</x:v>
      </x:c>
    </x:row>
    <x:row r="7">
      <x:c r="A7" s="22" t="str">
        <x:v>Median latitude (°)</x:v>
      </x:c>
      <x:c r="B7" s="23" t="n">
        <x:f>Results!E4</x:f>
        <x:v>-37.03148801790519</x:v>
      </x:c>
    </x:row>
    <x:row r="8">
      <x:c r="A8" s="22" t="str">
        <x:v>Median longitude (°E)</x:v>
      </x:c>
      <x:c r="B8" s="23" t="n">
        <x:f>Results!F4</x:f>
        <x:v>89.71217137994869</x:v>
      </x:c>
    </x:row>
    <x:row r="9">
      <x:c r="A9" s="22" t="str">
        <x:v>95% latitude low (°)</x:v>
      </x:c>
      <x:c r="B9" s="23" t="n">
        <x:f>Results!G4</x:f>
        <x:v>-39.14521255645312</x:v>
      </x:c>
    </x:row>
    <x:row r="10">
      <x:c r="A10" s="22" t="str">
        <x:v>95% latitude high (°)</x:v>
      </x:c>
      <x:c r="B10" s="23" t="n">
        <x:f>Results!H4</x:f>
        <x:v>-33.220915040307325</x:v>
      </x:c>
    </x:row>
    <x:row r="11">
      <x:c r="A11" s="22" t="str">
        <x:v>P(south of 36°S)</x:v>
      </x:c>
      <x:c r="B11" s="24" t="n">
        <x:f>Results!L4</x:f>
        <x:v>0.7292853166453828</x:v>
      </x:c>
    </x:row>
    <x:row r="12">
      <x:c r="A12" s="22" t="str">
        <x:v>Effective sample size</x:v>
      </x:c>
      <x:c r="B12" s="25" t="n">
        <x:f>Results!M4</x:f>
        <x:v>1157532.3070923993</x:v>
      </x:c>
    </x:row>
    <x:row r="15">
      <x:c r="A15" s="27" t="str">
        <x:v>Control family</x:v>
      </x:c>
      <x:c r="B15" s="27" t="str">
        <x:v>Posterior probability</x:v>
      </x:c>
    </x:row>
    <x:row r="16">
      <x:c r="A16" t="str">
        <x:f>'Control Hypotheses'!B2</x:f>
        <x:v>High-altitude/near-level</x:v>
      </x:c>
      <x:c r="B16" s="24" t="n">
        <x:f>'Control Hypotheses'!D2</x:f>
        <x:v>0.5075940617472294</x:v>
      </x:c>
    </x:row>
    <x:row r="17">
      <x:c r="A17" t="str">
        <x:f>'Control Hypotheses'!B3</x:f>
        <x:v>Earlier descent completed/low-level</x:v>
      </x:c>
      <x:c r="B17" s="24" t="n">
        <x:f>'Control Hypotheses'!D3</x:f>
        <x:v>0.24897197298975776</x:v>
      </x:c>
    </x:row>
    <x:row r="18">
      <x:c r="A18" t="str">
        <x:f>'Control Hypotheses'!B4</x:f>
        <x:v>Active controlled descent</x:v>
      </x:c>
      <x:c r="B18" s="24" t="n">
        <x:f>'Control Hypotheses'!D4</x:f>
        <x:v>0.24343396526301286</x:v>
      </x:c>
    </x:row>
    <x:row r="21">
      <x:c r="A21" s="30" t="str">
        <x:v>Sensitivity case</x:v>
      </x:c>
      <x:c r="B21" s="30" t="str">
        <x:v>Impact median latitude (°)</x:v>
      </x:c>
    </x:row>
    <x:row r="22">
      <x:c r="A22" s="28" t="str">
        <x:f>Sensitivity!A2</x:f>
        <x:v>Primary equal-control priors</x:v>
      </x:c>
      <x:c r="B22" s="31" t="n">
        <x:f>Sensitivity!D2</x:f>
        <x:v>-37.03148801790519</x:v>
      </x:c>
    </x:row>
    <x:row r="23">
      <x:c r="A23" s="28" t="str">
        <x:f>Sensitivity!A3</x:f>
        <x:v>Cruise-heavy prior</x:v>
      </x:c>
      <x:c r="B23" s="31" t="n">
        <x:f>Sensitivity!D3</x:f>
        <x:v>-37.1387603035561</x:v>
      </x:c>
    </x:row>
    <x:row r="24">
      <x:c r="A24" s="28" t="str">
        <x:f>Sensitivity!A4</x:f>
        <x:v>Descent-open prior</x:v>
      </x:c>
      <x:c r="B24" s="31" t="n">
        <x:f>Sensitivity!D4</x:f>
        <x:v>-36.99221938555651</x:v>
      </x:c>
    </x:row>
    <x:row r="25">
      <x:c r="A25" s="28" t="str">
        <x:f>Sensitivity!A5</x:f>
        <x:v>Tighter vertical-BFO model</x:v>
      </x:c>
      <x:c r="B25" s="31" t="n">
        <x:f>Sensitivity!D5</x:f>
        <x:v>-37.06579882552999</x:v>
      </x:c>
    </x:row>
    <x:row r="26">
      <x:c r="A26" s="28" t="str">
        <x:f>Sensitivity!A6</x:f>
        <x:v>Looser vertical-BFO model</x:v>
      </x:c>
      <x:c r="B26" s="31" t="n">
        <x:f>Sensitivity!D6</x:f>
        <x:v>-37.00721272534696</x:v>
      </x:c>
    </x:row>
    <x:row r="27">
      <x:c r="A27" s="28" t="str">
        <x:f>Sensitivity!A7</x:f>
        <x:v>Davey-drift weighted</x:v>
      </x:c>
      <x:c r="B27" s="31" t="n">
        <x:f>Sensitivity!D7</x:f>
        <x:v>-37.053804373546996</x:v>
      </x:c>
    </x:row>
    <x:row r="28">
      <x:c r="A28" s="28" t="str">
        <x:f>Sensitivity!A8</x:f>
        <x:v>Meta-drift weighted</x:v>
      </x:c>
      <x:c r="B28" s="31" t="n">
        <x:f>Sensitivity!D8</x:f>
        <x:v>-37.00945638462833</x:v>
      </x:c>
    </x:row>
    <x:row r="35">
      <x:c r="A35" s="32" t="str">
        <x:v>Interpretation</x:v>
      </x:c>
      <x:c r="B35" s="32"/>
      <x:c r="C35" s="32"/>
      <x:c r="D35" s="32"/>
      <x:c r="E35" s="32"/>
      <x:c r="F35" s="32"/>
      <x:c r="G35" s="32"/>
      <x:c r="H35" s="32"/>
    </x:row>
    <x:row r="36">
      <x:c r="A36" s="35" t="str">
        <x:v>The 00:11 data favor high-altitude/near-level flight, but only weakly: active descent and an earlier completed descent together retain about half the posterior under equal prior weights. The drift mixture shifts the terminal distribution modestly north; it does not dominate the satellite/RF and performance information. The heat-map width is driven mainly by terminal-flight uncertainty, especially controlled descent/glide direction and distance.</x:v>
      </x:c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</x:sheetData>
  <x:mergeCells>
    <x:mergeCell ref="A1:H1"/>
    <x:mergeCell ref="A2:H2"/>
    <x:mergeCell ref="A35:H35"/>
    <x:mergeCell ref="A36:H39"/>
  </x:mergeCells>
  <x:pageMargins left="0.7" right="0.7" top="0.75" bottom="0.75" header="0.3" footer="0.3"/>
  <x:drawing xmlns:r="http://schemas.openxmlformats.org/officeDocument/2006/relationships" r:id="R90b700cf5dfd4bc7"/>
</x:worksheet>
</file>

<file path=xl/worksheets/sheet2.xml><?xml version="1.0" encoding="utf-8"?>
<x:worksheet xmlns:x="http://schemas.openxmlformats.org/spreadsheetml/2006/main">
  <x:sheetFormatPr defaultRowHeight="15"/>
  <x:cols>
    <x:col min="1" max="1" width="18.670000076293945" hidden="0" customWidth="1"/>
    <x:col min="2" max="2" width="22.329999923706055" hidden="0" customWidth="1"/>
    <x:col min="3" max="3" width="11.4399995803833" hidden="0" customWidth="1"/>
    <x:col min="4" max="4" width="14" hidden="0" customWidth="1"/>
    <x:col min="5" max="5" width="12.779999732971191" hidden="0" customWidth="1"/>
    <x:col min="6" max="6" width="15.329999923706055" hidden="0" customWidth="1"/>
    <x:col min="7" max="7" width="9.670000076293945" hidden="0" customWidth="1"/>
    <x:col min="8" max="8" width="9.670000076293945" hidden="0" customWidth="1"/>
    <x:col min="9" max="9" width="9.329999923706055" hidden="0" customWidth="1"/>
    <x:col min="10" max="10" width="10" hidden="0" customWidth="1"/>
    <x:col min="11" max="11" width="15.670000076293945" hidden="0" customWidth="1"/>
    <x:col min="12" max="12" width="15.670000076293945" hidden="0" customWidth="1"/>
    <x:col min="13" max="13" width="9.109999656677246" hidden="0" customWidth="1"/>
  </x:cols>
  <x:sheetData>
    <x:row r="1" ht="15" hidden="0" customHeight="1">
      <x:c r="A1" s="4" t="str">
        <x:v>case</x:v>
      </x:c>
      <x:c r="B1" s="4" t="str">
        <x:v>estimate</x:v>
      </x:c>
      <x:c r="C1" s="4" t="str">
        <x:v>mode_lat_deg</x:v>
      </x:c>
      <x:c r="D1" s="4" t="str">
        <x:v>mode_lon_deg_E</x:v>
      </x:c>
      <x:c r="E1" s="4" t="str">
        <x:v>median_lat_deg</x:v>
      </x:c>
      <x:c r="F1" s="4" t="str">
        <x:v>median_lon_deg_E</x:v>
      </x:c>
      <x:c r="G1" s="4" t="str">
        <x:v>lat_95_low</x:v>
      </x:c>
      <x:c r="H1" s="4" t="str">
        <x:v>lat_95_high</x:v>
      </x:c>
      <x:c r="I1" s="4" t="str">
        <x:v>lon_95_low</x:v>
      </x:c>
      <x:c r="J1" s="4" t="str">
        <x:v>lon_95_high</x:v>
      </x:c>
      <x:c r="K1" s="4" t="str">
        <x:v>prob_south_of_34S</x:v>
      </x:c>
      <x:c r="L1" s="4" t="str">
        <x:v>prob_south_of_36S</x:v>
      </x:c>
      <x:c r="M1" s="4" t="str">
        <x:v>ESS</x:v>
      </x:c>
    </x:row>
    <x:row r="2" ht="15" hidden="0" customHeight="1">
      <x:c r="A2" s="7" t="str">
        <x:v>Primary equal-control priors</x:v>
      </x:c>
      <x:c r="B2" s="7" t="str">
        <x:v>00:11 airborne</x:v>
      </x:c>
      <x:c r="C2" s="9" t="n">
        <x:v>-36.5125</x:v>
      </x:c>
      <x:c r="D2" s="9" t="n">
        <x:v>89.2625</x:v>
      </x:c>
      <x:c r="E2" s="9" t="n">
        <x:v>-36.291194988371586</x:v>
      </x:c>
      <x:c r="F2" s="9" t="n">
        <x:v>89.58903797827251</x:v>
      </x:c>
      <x:c r="G2" s="9" t="n">
        <x:v>-37.71036038180866</x:v>
      </x:c>
      <x:c r="H2" s="9" t="n">
        <x:v>-32.8052426829411</x:v>
      </x:c>
      <x:c r="I2" s="9" t="n">
        <x:v>87.41817253193759</x:v>
      </x:c>
      <x:c r="J2" s="9" t="n">
        <x:v>94.38603943558259</x:v>
      </x:c>
      <x:c r="K2" s="9" t="n">
        <x:v>0.9012432620201531</x:v>
      </x:c>
      <x:c r="L2" s="9" t="n">
        <x:v>0.6143135668099895</x:v>
      </x:c>
      <x:c r="M2" s="9" t="n">
        <x:v>715186.5482546822</x:v>
      </x:c>
    </x:row>
    <x:row r="3" ht="15" hidden="0" customHeight="1">
      <x:c r="A3" s="7" t="str">
        <x:v>Primary equal-control priors</x:v>
      </x:c>
      <x:c r="B3" s="7" t="str">
        <x:v>Impact before drift</x:v>
      </x:c>
      <x:c r="C3" s="9" t="n">
        <x:v>-37.287499999999994</x:v>
      </x:c>
      <x:c r="D3" s="9" t="n">
        <x:v>89.2375</x:v>
      </x:c>
      <x:c r="E3" s="9" t="n">
        <x:v>-37.25380954443988</x:v>
      </x:c>
      <x:c r="F3" s="9" t="n">
        <x:v>89.46579197358801</x:v>
      </x:c>
      <x:c r="G3" s="9" t="n">
        <x:v>-39.290458775961135</x:v>
      </x:c>
      <x:c r="H3" s="9" t="n">
        <x:v>-33.668127154034124</x:v>
      </x:c>
      <x:c r="I3" s="9" t="n">
        <x:v>87.10192392668603</x:v>
      </x:c>
      <x:c r="J3" s="9" t="n">
        <x:v>94.30077011679123</x:v>
      </x:c>
      <x:c r="K3" s="9" t="n">
        <x:v>0.9634091666666666</x:v>
      </x:c>
      <x:c r="L3" s="9" t="n">
        <x:v>0.7906683333333333</x:v>
      </x:c>
      <x:c r="M3" s="9" t="n">
        <x:v>1199999.9999999998</x:v>
      </x:c>
    </x:row>
    <x:row r="4" ht="15" hidden="0" customHeight="1">
      <x:c r="A4" s="7" t="str">
        <x:v>Primary equal-control priors</x:v>
      </x:c>
      <x:c r="B4" s="7" t="str">
        <x:v>Impact after model-averaged drift</x:v>
      </x:c>
      <x:c r="C4" s="9" t="n">
        <x:v>-37.2625</x:v>
      </x:c>
      <x:c r="D4" s="9" t="n">
        <x:v>89.2375</x:v>
      </x:c>
      <x:c r="E4" s="9" t="n">
        <x:v>-37.03148801790519</x:v>
      </x:c>
      <x:c r="F4" s="9" t="n">
        <x:v>89.71217137994869</x:v>
      </x:c>
      <x:c r="G4" s="9" t="n">
        <x:v>-39.14521255645312</x:v>
      </x:c>
      <x:c r="H4" s="9" t="n">
        <x:v>-33.220915040307325</x:v>
      </x:c>
      <x:c r="I4" s="9" t="n">
        <x:v>87.21629355735058</x:v>
      </x:c>
      <x:c r="J4" s="9" t="n">
        <x:v>94.89163684193808</x:v>
      </x:c>
      <x:c r="K4" s="9" t="n">
        <x:v>0.9416388695630773</x:v>
      </x:c>
      <x:c r="L4" s="9" t="n">
        <x:v>0.7292853166453828</x:v>
      </x:c>
      <x:c r="M4" s="9" t="n">
        <x:v>1157532.3070923993</x:v>
      </x:c>
    </x:row>
    <x:row r="5" ht="15" hidden="0" customHeight="1">
      <x:c r="A5" s="7" t="str">
        <x:v>Cruise-heavy prior</x:v>
      </x:c>
      <x:c r="B5" s="7" t="str">
        <x:v>00:11 airborne</x:v>
      </x:c>
      <x:c r="C5" s="9" t="n">
        <x:v>-36.5125</x:v>
      </x:c>
      <x:c r="D5" s="9" t="n">
        <x:v>89.2875</x:v>
      </x:c>
      <x:c r="E5" s="9" t="n">
        <x:v>-36.30012548458019</x:v>
      </x:c>
      <x:c r="F5" s="9" t="n">
        <x:v>89.59724917165987</x:v>
      </x:c>
      <x:c r="G5" s="9" t="n">
        <x:v>-37.7197937446641</x:v>
      </x:c>
      <x:c r="H5" s="9" t="n">
        <x:v>-32.814114947250154</x:v>
      </x:c>
      <x:c r="I5" s="9" t="n">
        <x:v>87.42456924527296</x:v>
      </x:c>
      <x:c r="J5" s="9" t="n">
        <x:v>94.39461689545651</x:v>
      </x:c>
      <x:c r="K5" s="9" t="n">
        <x:v>0.9021579798091541</x:v>
      </x:c>
      <x:c r="L5" s="9" t="n">
        <x:v>0.6174634299503216</x:v>
      </x:c>
      <x:c r="M5" s="9" t="n">
        <x:v>491018.6099035411</x:v>
      </x:c>
    </x:row>
    <x:row r="6" ht="15" hidden="0" customHeight="1">
      <x:c r="A6" s="7" t="str">
        <x:v>Cruise-heavy prior</x:v>
      </x:c>
      <x:c r="B6" s="7" t="str">
        <x:v>Impact before drift</x:v>
      </x:c>
      <x:c r="C6" s="9" t="n">
        <x:v>-37.5625</x:v>
      </x:c>
      <x:c r="D6" s="9" t="n">
        <x:v>89.1375</x:v>
      </x:c>
      <x:c r="E6" s="9" t="n">
        <x:v>-37.36888313747431</x:v>
      </x:c>
      <x:c r="F6" s="9" t="n">
        <x:v>89.46236128020917</x:v>
      </x:c>
      <x:c r="G6" s="9" t="n">
        <x:v>-39.41459093317261</x:v>
      </x:c>
      <x:c r="H6" s="9" t="n">
        <x:v>-33.76619628405373</x:v>
      </x:c>
      <x:c r="I6" s="9" t="n">
        <x:v>87.04872432928119</x:v>
      </x:c>
      <x:c r="J6" s="9" t="n">
        <x:v>94.30884595807765</x:v>
      </x:c>
      <x:c r="K6" s="9" t="n">
        <x:v>0.9672425</x:v>
      </x:c>
      <x:c r="L6" s="9" t="n">
        <x:v>0.8032016666666667</x:v>
      </x:c>
      <x:c r="M6" s="9" t="n">
        <x:v>1199999.9999999998</x:v>
      </x:c>
    </x:row>
    <x:row r="7" ht="15" hidden="0" customHeight="1">
      <x:c r="A7" s="7" t="str">
        <x:v>Cruise-heavy prior</x:v>
      </x:c>
      <x:c r="B7" s="7" t="str">
        <x:v>Impact after model-averaged drift</x:v>
      </x:c>
      <x:c r="C7" s="9" t="n">
        <x:v>-37.5625</x:v>
      </x:c>
      <x:c r="D7" s="9" t="n">
        <x:v>89.1375</x:v>
      </x:c>
      <x:c r="E7" s="9" t="n">
        <x:v>-37.1387603035561</x:v>
      </x:c>
      <x:c r="F7" s="9" t="n">
        <x:v>89.71493688598649</x:v>
      </x:c>
      <x:c r="G7" s="9" t="n">
        <x:v>-39.26832113167674</x:v>
      </x:c>
      <x:c r="H7" s="9" t="n">
        <x:v>-33.30705216708097</x:v>
      </x:c>
      <x:c r="I7" s="9" t="n">
        <x:v>87.1691055351371</x:v>
      </x:c>
      <x:c r="J7" s="9" t="n">
        <x:v>94.90696083774601</x:v>
      </x:c>
      <x:c r="K7" s="9" t="n">
        <x:v>0.9467562798198719</x:v>
      </x:c>
      <x:c r="L7" s="9" t="n">
        <x:v>0.7423515155766339</x:v>
      </x:c>
      <x:c r="M7" s="9" t="n">
        <x:v>1155995.6673928518</x:v>
      </x:c>
    </x:row>
    <x:row r="8" ht="15" hidden="0" customHeight="1">
      <x:c r="A8" s="7" t="str">
        <x:v>Descent-open prior</x:v>
      </x:c>
      <x:c r="B8" s="7" t="str">
        <x:v>00:11 airborne</x:v>
      </x:c>
      <x:c r="C8" s="9" t="n">
        <x:v>-36.4875</x:v>
      </x:c>
      <x:c r="D8" s="9" t="n">
        <x:v>89.2875</x:v>
      </x:c>
      <x:c r="E8" s="9" t="n">
        <x:v>-36.28761874994884</x:v>
      </x:c>
      <x:c r="F8" s="9" t="n">
        <x:v>89.5857691558961</x:v>
      </x:c>
      <x:c r="G8" s="9" t="n">
        <x:v>-37.70628977286793</x:v>
      </x:c>
      <x:c r="H8" s="9" t="n">
        <x:v>-32.80246573136686</x:v>
      </x:c>
      <x:c r="I8" s="9" t="n">
        <x:v>87.41568913564087</x:v>
      </x:c>
      <x:c r="J8" s="9" t="n">
        <x:v>94.38230526994853</x:v>
      </x:c>
      <x:c r="K8" s="9" t="n">
        <x:v>0.9008947605739056</x:v>
      </x:c>
      <x:c r="L8" s="9" t="n">
        <x:v>0.6131081515704113</x:v>
      </x:c>
      <x:c r="M8" s="9" t="n">
        <x:v>752257.9097624589</x:v>
      </x:c>
    </x:row>
    <x:row r="9" ht="15" hidden="0" customHeight="1">
      <x:c r="A9" s="7" t="str">
        <x:v>Descent-open prior</x:v>
      </x:c>
      <x:c r="B9" s="7" t="str">
        <x:v>Impact before drift</x:v>
      </x:c>
      <x:c r="C9" s="9" t="n">
        <x:v>-37.287499999999994</x:v>
      </x:c>
      <x:c r="D9" s="9" t="n">
        <x:v>89.2375</x:v>
      </x:c>
      <x:c r="E9" s="9" t="n">
        <x:v>-37.21192634932934</x:v>
      </x:c>
      <x:c r="F9" s="9" t="n">
        <x:v>89.4663785735188</x:v>
      </x:c>
      <x:c r="G9" s="9" t="n">
        <x:v>-39.23422397195805</x:v>
      </x:c>
      <x:c r="H9" s="9" t="n">
        <x:v>-33.638366080493846</x:v>
      </x:c>
      <x:c r="I9" s="9" t="n">
        <x:v>87.12036576348032</x:v>
      </x:c>
      <x:c r="J9" s="9" t="n">
        <x:v>94.30106095728843</x:v>
      </x:c>
      <x:c r="K9" s="9" t="n">
        <x:v>0.9621916666666667</x:v>
      </x:c>
      <x:c r="L9" s="9" t="n">
        <x:v>0.7859475</x:v>
      </x:c>
      <x:c r="M9" s="9" t="n">
        <x:v>1199999.9999999998</x:v>
      </x:c>
    </x:row>
    <x:row r="10" ht="15" hidden="0" customHeight="1">
      <x:c r="A10" s="7" t="str">
        <x:v>Descent-open prior</x:v>
      </x:c>
      <x:c r="B10" s="7" t="str">
        <x:v>Impact after model-averaged drift</x:v>
      </x:c>
      <x:c r="C10" s="9" t="n">
        <x:v>-37.2375</x:v>
      </x:c>
      <x:c r="D10" s="9" t="n">
        <x:v>89.2875</x:v>
      </x:c>
      <x:c r="E10" s="9" t="n">
        <x:v>-36.99221938555651</x:v>
      </x:c>
      <x:c r="F10" s="9" t="n">
        <x:v>89.71045604842203</x:v>
      </x:c>
      <x:c r="G10" s="9" t="n">
        <x:v>-39.08984851633155</x:v>
      </x:c>
      <x:c r="H10" s="9" t="n">
        <x:v>-33.18517680700629</x:v>
      </x:c>
      <x:c r="I10" s="9" t="n">
        <x:v>87.23200326779416</x:v>
      </x:c>
      <x:c r="J10" s="9" t="n">
        <x:v>94.88397477649971</x:v>
      </x:c>
      <x:c r="K10" s="9" t="n">
        <x:v>0.9400921508323226</x:v>
      </x:c>
      <x:c r="L10" s="9" t="n">
        <x:v>0.7244979890734731</x:v>
      </x:c>
      <x:c r="M10" s="9" t="n">
        <x:v>1158222.2349858356</x:v>
      </x:c>
    </x:row>
    <x:row r="11" ht="15" hidden="0" customHeight="1">
      <x:c r="A11" s="7" t="str">
        <x:v>Tighter vertical-BFO model</x:v>
      </x:c>
      <x:c r="B11" s="7" t="str">
        <x:v>00:11 airborne</x:v>
      </x:c>
      <x:c r="C11" s="9" t="n">
        <x:v>-36.5125</x:v>
      </x:c>
      <x:c r="D11" s="9" t="n">
        <x:v>89.2625</x:v>
      </x:c>
      <x:c r="E11" s="9" t="n">
        <x:v>-36.29323000515392</x:v>
      </x:c>
      <x:c r="F11" s="9" t="n">
        <x:v>89.59185384061779</x:v>
      </x:c>
      <x:c r="G11" s="9" t="n">
        <x:v>-37.712351273904304</x:v>
      </x:c>
      <x:c r="H11" s="9" t="n">
        <x:v>-32.806494319089005</x:v>
      </x:c>
      <x:c r="I11" s="9" t="n">
        <x:v>87.42038289434274</x:v>
      </x:c>
      <x:c r="J11" s="9" t="n">
        <x:v>94.38978876285788</x:v>
      </x:c>
      <x:c r="K11" s="9" t="n">
        <x:v>0.9014385340760609</x:v>
      </x:c>
      <x:c r="L11" s="9" t="n">
        <x:v>0.6150027789469659</x:v>
      </x:c>
      <x:c r="M11" s="9" t="n">
        <x:v>642536.7748641863</x:v>
      </x:c>
    </x:row>
    <x:row r="12" ht="15" hidden="0" customHeight="1">
      <x:c r="A12" s="7" t="str">
        <x:v>Tighter vertical-BFO model</x:v>
      </x:c>
      <x:c r="B12" s="7" t="str">
        <x:v>Impact before drift</x:v>
      </x:c>
      <x:c r="C12" s="9" t="n">
        <x:v>-37.412499999999994</x:v>
      </x:c>
      <x:c r="D12" s="9" t="n">
        <x:v>89.1125</x:v>
      </x:c>
      <x:c r="E12" s="9" t="n">
        <x:v>-37.290626590776085</x:v>
      </x:c>
      <x:c r="F12" s="9" t="n">
        <x:v>89.46283560407824</x:v>
      </x:c>
      <x:c r="G12" s="9" t="n">
        <x:v>-39.32191616427912</x:v>
      </x:c>
      <x:c r="H12" s="9" t="n">
        <x:v>-33.70341588167281</x:v>
      </x:c>
      <x:c r="I12" s="9" t="n">
        <x:v>87.0911285853324</x:v>
      </x:c>
      <x:c r="J12" s="9" t="n">
        <x:v>94.31051026275077</x:v>
      </x:c>
      <x:c r="K12" s="9" t="n">
        <x:v>0.9647875</x:v>
      </x:c>
      <x:c r="L12" s="9" t="n">
        <x:v>0.7952158333333333</x:v>
      </x:c>
      <x:c r="M12" s="9" t="n">
        <x:v>1199999.9999999998</x:v>
      </x:c>
    </x:row>
    <x:row r="13" ht="15" hidden="0" customHeight="1">
      <x:c r="A13" s="7" t="str">
        <x:v>Tighter vertical-BFO model</x:v>
      </x:c>
      <x:c r="B13" s="7" t="str">
        <x:v>Impact after model-averaged drift</x:v>
      </x:c>
      <x:c r="C13" s="9" t="n">
        <x:v>-37.3875</x:v>
      </x:c>
      <x:c r="D13" s="9" t="n">
        <x:v>89.1375</x:v>
      </x:c>
      <x:c r="E13" s="9" t="n">
        <x:v>-37.06579882552999</x:v>
      </x:c>
      <x:c r="F13" s="9" t="n">
        <x:v>89.70973383869678</x:v>
      </x:c>
      <x:c r="G13" s="9" t="n">
        <x:v>-39.176183057962795</x:v>
      </x:c>
      <x:c r="H13" s="9" t="n">
        <x:v>-33.24907744033511</x:v>
      </x:c>
      <x:c r="I13" s="9" t="n">
        <x:v>87.20607245680783</x:v>
      </x:c>
      <x:c r="J13" s="9" t="n">
        <x:v>94.89918661165837</x:v>
      </x:c>
      <x:c r="K13" s="9" t="n">
        <x:v>0.943471645480149</x:v>
      </x:c>
      <x:c r="L13" s="9" t="n">
        <x:v>0.7341029557189134</x:v>
      </x:c>
      <x:c r="M13" s="9" t="n">
        <x:v>1157184.400876081</x:v>
      </x:c>
    </x:row>
    <x:row r="14" ht="15" hidden="0" customHeight="1">
      <x:c r="A14" s="7" t="str">
        <x:v>Looser vertical-BFO model</x:v>
      </x:c>
      <x:c r="B14" s="7" t="str">
        <x:v>00:11 airborne</x:v>
      </x:c>
      <x:c r="C14" s="9" t="n">
        <x:v>-36.4875</x:v>
      </x:c>
      <x:c r="D14" s="9" t="n">
        <x:v>89.2875</x:v>
      </x:c>
      <x:c r="E14" s="9" t="n">
        <x:v>-36.28952475239882</x:v>
      </x:c>
      <x:c r="F14" s="9" t="n">
        <x:v>89.58669607025126</x:v>
      </x:c>
      <x:c r="G14" s="9" t="n">
        <x:v>-37.70858645046572</x:v>
      </x:c>
      <x:c r="H14" s="9" t="n">
        <x:v>-32.80406581471364</x:v>
      </x:c>
      <x:c r="I14" s="9" t="n">
        <x:v>87.41596983828038</x:v>
      </x:c>
      <x:c r="J14" s="9" t="n">
        <x:v>94.38336836418866</x:v>
      </x:c>
      <x:c r="K14" s="9" t="n">
        <x:v>0.9010745975937883</x:v>
      </x:c>
      <x:c r="L14" s="9" t="n">
        <x:v>0.6137432749305767</x:v>
      </x:c>
      <x:c r="M14" s="9" t="n">
        <x:v>761656.1762714458</x:v>
      </x:c>
    </x:row>
    <x:row r="15" ht="15" hidden="0" customHeight="1">
      <x:c r="A15" s="7" t="str">
        <x:v>Looser vertical-BFO model</x:v>
      </x:c>
      <x:c r="B15" s="7" t="str">
        <x:v>Impact before drift</x:v>
      </x:c>
      <x:c r="C15" s="9" t="n">
        <x:v>-37.3125</x:v>
      </x:c>
      <x:c r="D15" s="9" t="n">
        <x:v>89.1375</x:v>
      </x:c>
      <x:c r="E15" s="9" t="n">
        <x:v>-37.229056059219666</x:v>
      </x:c>
      <x:c r="F15" s="9" t="n">
        <x:v>89.46496433490438</x:v>
      </x:c>
      <x:c r="G15" s="9" t="n">
        <x:v>-39.26621274511097</x:v>
      </x:c>
      <x:c r="H15" s="9" t="n">
        <x:v>-33.647766022712275</x:v>
      </x:c>
      <x:c r="I15" s="9" t="n">
        <x:v>87.10961798749179</x:v>
      </x:c>
      <x:c r="J15" s="9" t="n">
        <x:v>94.29489346010348</x:v>
      </x:c>
      <x:c r="K15" s="9" t="n">
        <x:v>0.9623566666666666</x:v>
      </x:c>
      <x:c r="L15" s="9" t="n">
        <x:v>0.7878158333333334</x:v>
      </x:c>
      <x:c r="M15" s="9" t="n">
        <x:v>1199999.9999999998</x:v>
      </x:c>
    </x:row>
    <x:row r="16" ht="15" hidden="0" customHeight="1">
      <x:c r="A16" s="7" t="str">
        <x:v>Looser vertical-BFO model</x:v>
      </x:c>
      <x:c r="B16" s="7" t="str">
        <x:v>Impact after model-averaged drift</x:v>
      </x:c>
      <x:c r="C16" s="9" t="n">
        <x:v>-37.287499999999994</x:v>
      </x:c>
      <x:c r="D16" s="9" t="n">
        <x:v>89.1375</x:v>
      </x:c>
      <x:c r="E16" s="9" t="n">
        <x:v>-37.00721272534696</x:v>
      </x:c>
      <x:c r="F16" s="9" t="n">
        <x:v>89.7088390247015</x:v>
      </x:c>
      <x:c r="G16" s="9" t="n">
        <x:v>-39.12151530959736</x:v>
      </x:c>
      <x:c r="H16" s="9" t="n">
        <x:v>-33.19168396318569</x:v>
      </x:c>
      <x:c r="I16" s="9" t="n">
        <x:v>87.22528711739878</x:v>
      </x:c>
      <x:c r="J16" s="9" t="n">
        <x:v>94.89422895308311</x:v>
      </x:c>
      <x:c r="K16" s="9" t="n">
        <x:v>0.9402682432512753</x:v>
      </x:c>
      <x:c r="L16" s="9" t="n">
        <x:v>0.726358419003205</x:v>
      </x:c>
      <x:c r="M16" s="9" t="n">
        <x:v>1157868.5037671113</x:v>
      </x:c>
    </x:row>
    <x:row r="17" ht="15" hidden="0" customHeight="1">
      <x:c r="A17" s="7" t="str">
        <x:v>Davey-drift weighted</x:v>
      </x:c>
      <x:c r="B17" s="7" t="str">
        <x:v>00:11 airborne</x:v>
      </x:c>
      <x:c r="C17" s="9" t="n">
        <x:v>-36.5125</x:v>
      </x:c>
      <x:c r="D17" s="9" t="n">
        <x:v>89.2625</x:v>
      </x:c>
      <x:c r="E17" s="9" t="n">
        <x:v>-36.291194988371586</x:v>
      </x:c>
      <x:c r="F17" s="9" t="n">
        <x:v>89.58903797827251</x:v>
      </x:c>
      <x:c r="G17" s="9" t="n">
        <x:v>-37.71036038180866</x:v>
      </x:c>
      <x:c r="H17" s="9" t="n">
        <x:v>-32.8052426829411</x:v>
      </x:c>
      <x:c r="I17" s="9" t="n">
        <x:v>87.41817253193759</x:v>
      </x:c>
      <x:c r="J17" s="9" t="n">
        <x:v>94.38603943558259</x:v>
      </x:c>
      <x:c r="K17" s="9" t="n">
        <x:v>0.9012432620201531</x:v>
      </x:c>
      <x:c r="L17" s="9" t="n">
        <x:v>0.6143135668099895</x:v>
      </x:c>
      <x:c r="M17" s="9" t="n">
        <x:v>715186.5482546822</x:v>
      </x:c>
    </x:row>
    <x:row r="18" ht="15" hidden="0" customHeight="1">
      <x:c r="A18" s="7" t="str">
        <x:v>Davey-drift weighted</x:v>
      </x:c>
      <x:c r="B18" s="7" t="str">
        <x:v>Impact before drift</x:v>
      </x:c>
      <x:c r="C18" s="9" t="n">
        <x:v>-37.287499999999994</x:v>
      </x:c>
      <x:c r="D18" s="9" t="n">
        <x:v>89.2375</x:v>
      </x:c>
      <x:c r="E18" s="9" t="n">
        <x:v>-37.25380954443988</x:v>
      </x:c>
      <x:c r="F18" s="9" t="n">
        <x:v>89.46579197358801</x:v>
      </x:c>
      <x:c r="G18" s="9" t="n">
        <x:v>-39.290458775961135</x:v>
      </x:c>
      <x:c r="H18" s="9" t="n">
        <x:v>-33.668127154034124</x:v>
      </x:c>
      <x:c r="I18" s="9" t="n">
        <x:v>87.10192392668603</x:v>
      </x:c>
      <x:c r="J18" s="9" t="n">
        <x:v>94.30077011679123</x:v>
      </x:c>
      <x:c r="K18" s="9" t="n">
        <x:v>0.9634091666666666</x:v>
      </x:c>
      <x:c r="L18" s="9" t="n">
        <x:v>0.7906683333333333</x:v>
      </x:c>
      <x:c r="M18" s="9" t="n">
        <x:v>1199999.9999999998</x:v>
      </x:c>
    </x:row>
    <x:row r="19" ht="15" hidden="0" customHeight="1">
      <x:c r="A19" s="7" t="str">
        <x:v>Davey-drift weighted</x:v>
      </x:c>
      <x:c r="B19" s="7" t="str">
        <x:v>Impact after model-averaged drift</x:v>
      </x:c>
      <x:c r="C19" s="9" t="n">
        <x:v>-37.2625</x:v>
      </x:c>
      <x:c r="D19" s="9" t="n">
        <x:v>89.2375</x:v>
      </x:c>
      <x:c r="E19" s="9" t="n">
        <x:v>-37.053804373546996</x:v>
      </x:c>
      <x:c r="F19" s="9" t="n">
        <x:v>89.69257889325259</x:v>
      </x:c>
      <x:c r="G19" s="9" t="n">
        <x:v>-39.16701188474378</x:v>
      </x:c>
      <x:c r="H19" s="9" t="n">
        <x:v>-33.19031305426322</x:v>
      </x:c>
      <x:c r="I19" s="9" t="n">
        <x:v>87.2049102854406</x:v>
      </x:c>
      <x:c r="J19" s="9" t="n">
        <x:v>94.9438475702422</x:v>
      </x:c>
      <x:c r="K19" s="9" t="n">
        <x:v>0.940374269809759</x:v>
      </x:c>
      <x:c r="L19" s="9" t="n">
        <x:v>0.7328718856194191</x:v>
      </x:c>
      <x:c r="M19" s="9" t="n">
        <x:v>1160145.9931906716</x:v>
      </x:c>
    </x:row>
    <x:row r="20" ht="15" hidden="0" customHeight="1">
      <x:c r="A20" s="7" t="str">
        <x:v>Meta-drift weighted</x:v>
      </x:c>
      <x:c r="B20" s="7" t="str">
        <x:v>00:11 airborne</x:v>
      </x:c>
      <x:c r="C20" s="9" t="n">
        <x:v>-36.5125</x:v>
      </x:c>
      <x:c r="D20" s="9" t="n">
        <x:v>89.2625</x:v>
      </x:c>
      <x:c r="E20" s="9" t="n">
        <x:v>-36.291194988371586</x:v>
      </x:c>
      <x:c r="F20" s="9" t="n">
        <x:v>89.58903797827251</x:v>
      </x:c>
      <x:c r="G20" s="9" t="n">
        <x:v>-37.71036038180866</x:v>
      </x:c>
      <x:c r="H20" s="9" t="n">
        <x:v>-32.8052426829411</x:v>
      </x:c>
      <x:c r="I20" s="9" t="n">
        <x:v>87.41817253193759</x:v>
      </x:c>
      <x:c r="J20" s="9" t="n">
        <x:v>94.38603943558259</x:v>
      </x:c>
      <x:c r="K20" s="9" t="n">
        <x:v>0.9012432620201531</x:v>
      </x:c>
      <x:c r="L20" s="9" t="n">
        <x:v>0.6143135668099895</x:v>
      </x:c>
      <x:c r="M20" s="9" t="n">
        <x:v>715186.5482546822</x:v>
      </x:c>
    </x:row>
    <x:row r="21" ht="15" hidden="0" customHeight="1">
      <x:c r="A21" s="7" t="str">
        <x:v>Meta-drift weighted</x:v>
      </x:c>
      <x:c r="B21" s="7" t="str">
        <x:v>Impact before drift</x:v>
      </x:c>
      <x:c r="C21" s="9" t="n">
        <x:v>-37.287499999999994</x:v>
      </x:c>
      <x:c r="D21" s="9" t="n">
        <x:v>89.2375</x:v>
      </x:c>
      <x:c r="E21" s="9" t="n">
        <x:v>-37.25380954443988</x:v>
      </x:c>
      <x:c r="F21" s="9" t="n">
        <x:v>89.46579197358801</x:v>
      </x:c>
      <x:c r="G21" s="9" t="n">
        <x:v>-39.290458775961135</x:v>
      </x:c>
      <x:c r="H21" s="9" t="n">
        <x:v>-33.668127154034124</x:v>
      </x:c>
      <x:c r="I21" s="9" t="n">
        <x:v>87.10192392668603</x:v>
      </x:c>
      <x:c r="J21" s="9" t="n">
        <x:v>94.30077011679123</x:v>
      </x:c>
      <x:c r="K21" s="9" t="n">
        <x:v>0.9634091666666666</x:v>
      </x:c>
      <x:c r="L21" s="9" t="n">
        <x:v>0.7906683333333333</x:v>
      </x:c>
      <x:c r="M21" s="9" t="n">
        <x:v>1199999.9999999998</x:v>
      </x:c>
    </x:row>
    <x:row r="22" ht="15" hidden="0" customHeight="1">
      <x:c r="A22" s="8" t="str">
        <x:v>Meta-drift weighted</x:v>
      </x:c>
      <x:c r="B22" s="8" t="str">
        <x:v>Impact after model-averaged drift</x:v>
      </x:c>
      <x:c r="C22" s="10" t="n">
        <x:v>-37.2625</x:v>
      </x:c>
      <x:c r="D22" s="10" t="n">
        <x:v>89.2375</x:v>
      </x:c>
      <x:c r="E22" s="10" t="n">
        <x:v>-37.00945638462833</x:v>
      </x:c>
      <x:c r="F22" s="10" t="n">
        <x:v>89.7314950453668</x:v>
      </x:c>
      <x:c r="G22" s="10" t="n">
        <x:v>-39.12209587582696</x:v>
      </x:c>
      <x:c r="H22" s="10" t="n">
        <x:v>-33.25163455670375</x:v>
      </x:c>
      <x:c r="I22" s="10" t="n">
        <x:v>87.22834690732486</x:v>
      </x:c>
      <x:c r="J22" s="10" t="n">
        <x:v>94.83544913107049</x:v>
      </x:c>
      <x:c r="K22" s="10" t="n">
        <x:v>0.9429034693163956</x:v>
      </x:c>
      <x:c r="L22" s="10" t="n">
        <x:v>0.7256987476713468</x:v>
      </x:c>
      <x:c r="M22" s="10" t="n">
        <x:v>1153680.364584853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670000076293945" hidden="0" customWidth="1"/>
    <x:col min="2" max="2" width="23.780000686645508" hidden="0" customWidth="1"/>
    <x:col min="3" max="3" width="13.4399995803833" hidden="0" customWidth="1"/>
    <x:col min="4" max="4" width="16.780000686645508" hidden="0" customWidth="1"/>
    <x:col min="5" max="5" width="23.889999389648438" hidden="0" customWidth="1"/>
    <x:col min="6" max="6" width="21.440000534057617" hidden="0" customWidth="1"/>
    <x:col min="7" max="7" width="30.780000686645508" hidden="0" customWidth="1"/>
  </x:cols>
  <x:sheetData>
    <x:row r="1" ht="15" hidden="0" customHeight="1">
      <x:c r="A1" s="4" t="str">
        <x:v>case</x:v>
      </x:c>
      <x:c r="B1" s="4" t="str">
        <x:v>family</x:v>
      </x:c>
      <x:c r="C1" s="4" t="str">
        <x:v>prior_probability</x:v>
      </x:c>
      <x:c r="D1" s="4" t="str">
        <x:v>posterior_probability</x:v>
      </x:c>
      <x:c r="E1" s="4" t="str">
        <x:v>Bayes_factor_vs_complement</x:v>
      </x:c>
      <x:c r="F1" s="4" t="str">
        <x:v>mean_altitude_ft_posterior</x:v>
      </x:c>
      <x:c r="G1" s="4" t="str">
        <x:v>mean_abs_vertical_rate_fpm_posterior</x:v>
      </x:c>
    </x:row>
    <x:row r="2" ht="15" hidden="0" customHeight="1">
      <x:c r="A2" s="7" t="str">
        <x:v>Primary equal-control priors</x:v>
      </x:c>
      <x:c r="B2" s="7" t="str">
        <x:v>High-altitude/near-level</x:v>
      </x:c>
      <x:c r="C2" s="9" t="n">
        <x:v>0.3333333333333333</x:v>
      </x:c>
      <x:c r="D2" s="9" t="n">
        <x:v>0.5075940617472294</x:v>
      </x:c>
      <x:c r="E2" s="9" t="n">
        <x:v>2.0616894408233652</x:v>
      </x:c>
      <x:c r="F2" s="11" t="n">
        <x:v>34011.731936326614</x:v>
      </x:c>
      <x:c r="G2" s="11" t="n">
        <x:v>95.23135048194321</x:v>
      </x:c>
    </x:row>
    <x:row r="3" ht="15" hidden="0" customHeight="1">
      <x:c r="A3" s="7" t="str">
        <x:v>Primary equal-control priors</x:v>
      </x:c>
      <x:c r="B3" s="7" t="str">
        <x:v>Earlier descent completed/low-level</x:v>
      </x:c>
      <x:c r="C3" s="9" t="n">
        <x:v>0.3333333333333333</x:v>
      </x:c>
      <x:c r="D3" s="9" t="n">
        <x:v>0.24897197298975776</x:v>
      </x:c>
      <x:c r="E3" s="9" t="n">
        <x:v>0.6630164628632758</x:v>
      </x:c>
      <x:c r="F3" s="11" t="n">
        <x:v>13879.65665546376</x:v>
      </x:c>
      <x:c r="G3" s="11" t="n">
        <x:v>142.02723735019254</x:v>
      </x:c>
    </x:row>
    <x:row r="4" ht="15" hidden="0" customHeight="1">
      <x:c r="A4" s="7" t="str">
        <x:v>Primary equal-control priors</x:v>
      </x:c>
      <x:c r="B4" s="7" t="str">
        <x:v>Active controlled descent</x:v>
      </x:c>
      <x:c r="C4" s="9" t="n">
        <x:v>0.3333333333333333</x:v>
      </x:c>
      <x:c r="D4" s="9" t="n">
        <x:v>0.24343396526301286</x:v>
      </x:c>
      <x:c r="E4" s="9" t="n">
        <x:v>0.6435233782273622</x:v>
      </x:c>
      <x:c r="F4" s="11" t="n">
        <x:v>16000.574681374603</x:v>
      </x:c>
      <x:c r="G4" s="11" t="n">
        <x:v>1129.8402976924185</x:v>
      </x:c>
    </x:row>
    <x:row r="5" ht="15" hidden="0" customHeight="1">
      <x:c r="A5" s="7" t="str">
        <x:v>Cruise-heavy prior</x:v>
      </x:c>
      <x:c r="B5" s="7" t="str">
        <x:v>High-altitude/near-level</x:v>
      </x:c>
      <x:c r="C5" s="9" t="n">
        <x:v>0.6</x:v>
      </x:c>
      <x:c r="D5" s="9" t="n">
        <x:v>0.7556526199653713</x:v>
      </x:c>
      <x:c r="E5" s="9" t="n">
        <x:v>2.0616894408233635</x:v>
      </x:c>
      <x:c r="F5" s="11" t="n">
        <x:v>34011.73193632661</x:v>
      </x:c>
      <x:c r="G5" s="11" t="n">
        <x:v>95.23135048194321</x:v>
      </x:c>
    </x:row>
    <x:row r="6" ht="15" hidden="0" customHeight="1">
      <x:c r="A6" s="7" t="str">
        <x:v>Cruise-heavy prior</x:v>
      </x:c>
      <x:c r="B6" s="7" t="str">
        <x:v>Earlier descent completed/low-level</x:v>
      </x:c>
      <x:c r="C6" s="9" t="n">
        <x:v>0.2</x:v>
      </x:c>
      <x:c r="D6" s="9" t="n">
        <x:v>0.12354775719798568</x:v>
      </x:c>
      <x:c r="E6" s="9" t="n">
        <x:v>0.5638539154307096</x:v>
      </x:c>
      <x:c r="F6" s="11" t="n">
        <x:v>13879.65665546376</x:v>
      </x:c>
      <x:c r="G6" s="11" t="n">
        <x:v>142.02723735019254</x:v>
      </x:c>
    </x:row>
    <x:row r="7" ht="15" hidden="0" customHeight="1">
      <x:c r="A7" s="7" t="str">
        <x:v>Cruise-heavy prior</x:v>
      </x:c>
      <x:c r="B7" s="7" t="str">
        <x:v>Active controlled descent</x:v>
      </x:c>
      <x:c r="C7" s="9" t="n">
        <x:v>0.2</x:v>
      </x:c>
      <x:c r="D7" s="9" t="n">
        <x:v>0.12079962283664294</x:v>
      </x:c>
      <x:c r="E7" s="9" t="n">
        <x:v>0.5495885851477434</x:v>
      </x:c>
      <x:c r="F7" s="11" t="n">
        <x:v>16000.574681374603</x:v>
      </x:c>
      <x:c r="G7" s="11" t="n">
        <x:v>1129.8402976924187</x:v>
      </x:c>
    </x:row>
    <x:row r="8" ht="15" hidden="0" customHeight="1">
      <x:c r="A8" s="7" t="str">
        <x:v>Descent-open prior</x:v>
      </x:c>
      <x:c r="B8" s="7" t="str">
        <x:v>High-altitude/near-level</x:v>
      </x:c>
      <x:c r="C8" s="9" t="n">
        <x:v>0.25</x:v>
      </x:c>
      <x:c r="D8" s="9" t="n">
        <x:v>0.4074935982320622</x:v>
      </x:c>
      <x:c r="E8" s="9" t="n">
        <x:v>2.0632364326334924</x:v>
      </x:c>
      <x:c r="F8" s="11" t="n">
        <x:v>34011.73193632661</x:v>
      </x:c>
      <x:c r="G8" s="11" t="n">
        <x:v>95.23135048194318</x:v>
      </x:c>
    </x:row>
    <x:row r="9" ht="15" hidden="0" customHeight="1">
      <x:c r="A9" s="7" t="str">
        <x:v>Descent-open prior</x:v>
      </x:c>
      <x:c r="B9" s="7" t="str">
        <x:v>Earlier descent completed/low-level</x:v>
      </x:c>
      <x:c r="C9" s="9" t="n">
        <x:v>0.35</x:v>
      </x:c>
      <x:c r="D9" s="9" t="n">
        <x:v>0.27982257849240944</x:v>
      </x:c>
      <x:c r="E9" s="9" t="n">
        <x:v>0.7215867748625294</x:v>
      </x:c>
      <x:c r="F9" s="11" t="n">
        <x:v>13879.65665546376</x:v>
      </x:c>
      <x:c r="G9" s="11" t="n">
        <x:v>142.0272373501925</x:v>
      </x:c>
    </x:row>
    <x:row r="10" ht="15" hidden="0" customHeight="1">
      <x:c r="A10" s="7" t="str">
        <x:v>Descent-open prior</x:v>
      </x:c>
      <x:c r="B10" s="7" t="str">
        <x:v>Active controlled descent</x:v>
      </x:c>
      <x:c r="C10" s="9" t="n">
        <x:v>0.4</x:v>
      </x:c>
      <x:c r="D10" s="9" t="n">
        <x:v>0.31268382327552835</x:v>
      </x:c>
      <x:c r="E10" s="9" t="n">
        <x:v>0.6824017108814732</x:v>
      </x:c>
      <x:c r="F10" s="11" t="n">
        <x:v>16000.574681374603</x:v>
      </x:c>
      <x:c r="G10" s="11" t="n">
        <x:v>1129.8402976924187</x:v>
      </x:c>
    </x:row>
    <x:row r="11" ht="15" hidden="0" customHeight="1">
      <x:c r="A11" s="7" t="str">
        <x:v>Tighter vertical-BFO model</x:v>
      </x:c>
      <x:c r="B11" s="7" t="str">
        <x:v>High-altitude/near-level</x:v>
      </x:c>
      <x:c r="C11" s="9" t="n">
        <x:v>0.3333333333333333</x:v>
      </x:c>
      <x:c r="D11" s="9" t="n">
        <x:v>0.5573296517244992</x:v>
      </x:c>
      <x:c r="E11" s="9" t="n">
        <x:v>2.5180347131705285</x:v>
      </x:c>
      <x:c r="F11" s="11" t="n">
        <x:v>34011.692269866355</x:v>
      </x:c>
      <x:c r="G11" s="11" t="n">
        <x:v>94.75681198822568</x:v>
      </x:c>
    </x:row>
    <x:row r="12" ht="15" hidden="0" customHeight="1">
      <x:c r="A12" s="7" t="str">
        <x:v>Tighter vertical-BFO model</x:v>
      </x:c>
      <x:c r="B12" s="7" t="str">
        <x:v>Earlier descent completed/low-level</x:v>
      </x:c>
      <x:c r="C12" s="9" t="n">
        <x:v>0.3333333333333333</x:v>
      </x:c>
      <x:c r="D12" s="9" t="n">
        <x:v>0.27171880452837194</x:v>
      </x:c>
      <x:c r="E12" s="9" t="n">
        <x:v>0.7461920099486008</x:v>
      </x:c>
      <x:c r="F12" s="11" t="n">
        <x:v>13879.475622412332</x:v>
      </x:c>
      <x:c r="G12" s="11" t="n">
        <x:v>140.46187259245426</x:v>
      </x:c>
    </x:row>
    <x:row r="13" ht="15" hidden="0" customHeight="1">
      <x:c r="A13" s="7" t="str">
        <x:v>Tighter vertical-BFO model</x:v>
      </x:c>
      <x:c r="B13" s="7" t="str">
        <x:v>Active controlled descent</x:v>
      </x:c>
      <x:c r="C13" s="9" t="n">
        <x:v>0.3333333333333333</x:v>
      </x:c>
      <x:c r="D13" s="9" t="n">
        <x:v>0.1709515437471289</x:v>
      </x:c>
      <x:c r="E13" s="9" t="n">
        <x:v>0.4124042266957346</x:v>
      </x:c>
      <x:c r="F13" s="11" t="n">
        <x:v>18579.853031894316</x:v>
      </x:c>
      <x:c r="G13" s="11" t="n">
        <x:v>899.3448877529038</x:v>
      </x:c>
    </x:row>
    <x:row r="14" ht="15" hidden="0" customHeight="1">
      <x:c r="A14" s="7" t="str">
        <x:v>Looser vertical-BFO model</x:v>
      </x:c>
      <x:c r="B14" s="7" t="str">
        <x:v>High-altitude/near-level</x:v>
      </x:c>
      <x:c r="C14" s="9" t="n">
        <x:v>0.3333333333333333</x:v>
      </x:c>
      <x:c r="D14" s="9" t="n">
        <x:v>0.4702855650725558</x:v>
      </x:c>
      <x:c r="E14" s="9" t="n">
        <x:v>1.775619216935146</x:v>
      </x:c>
      <x:c r="F14" s="11" t="n">
        <x:v>34011.74990559633</x:v>
      </x:c>
      <x:c r="G14" s="11" t="n">
        <x:v>95.44457446445367</x:v>
      </x:c>
    </x:row>
    <x:row r="15" ht="15" hidden="0" customHeight="1">
      <x:c r="A15" s="7" t="str">
        <x:v>Looser vertical-BFO model</x:v>
      </x:c>
      <x:c r="B15" s="7" t="str">
        <x:v>Earlier descent completed/low-level</x:v>
      </x:c>
      <x:c r="C15" s="9" t="n">
        <x:v>0.3333333333333333</x:v>
      </x:c>
      <x:c r="D15" s="9" t="n">
        <x:v>0.23130790209840177</x:v>
      </x:c>
      <x:c r="E15" s="9" t="n">
        <x:v>0.6018219849789895</x:v>
      </x:c>
      <x:c r="F15" s="11" t="n">
        <x:v>13879.739456432031</x:v>
      </x:c>
      <x:c r="G15" s="11" t="n">
        <x:v>142.74002189428532</x:v>
      </x:c>
    </x:row>
    <x:row r="16" ht="15" hidden="0" customHeight="1">
      <x:c r="A16" s="7" t="str">
        <x:v>Looser vertical-BFO model</x:v>
      </x:c>
      <x:c r="B16" s="7" t="str">
        <x:v>Active controlled descent</x:v>
      </x:c>
      <x:c r="C16" s="9" t="n">
        <x:v>0.3333333333333333</x:v>
      </x:c>
      <x:c r="D16" s="9" t="n">
        <x:v>0.2984065328290424</x:v>
      </x:c>
      <x:c r="E16" s="9" t="n">
        <x:v>0.8506536813471485</x:v>
      </x:c>
      <x:c r="F16" s="11" t="n">
        <x:v>14526.228270593676</x:v>
      </x:c>
      <x:c r="G16" s="11" t="n">
        <x:v>1277.6953547186333</x:v>
      </x:c>
    </x:row>
    <x:row r="17" ht="15" hidden="0" customHeight="1">
      <x:c r="A17" s="7" t="str">
        <x:v>Davey-drift weighted</x:v>
      </x:c>
      <x:c r="B17" s="7" t="str">
        <x:v>High-altitude/near-level</x:v>
      </x:c>
      <x:c r="C17" s="9" t="n">
        <x:v>0.3333333333333333</x:v>
      </x:c>
      <x:c r="D17" s="9" t="n">
        <x:v>0.5075940617472294</x:v>
      </x:c>
      <x:c r="E17" s="9" t="n">
        <x:v>2.0616894408233652</x:v>
      </x:c>
      <x:c r="F17" s="11" t="n">
        <x:v>34011.731936326614</x:v>
      </x:c>
      <x:c r="G17" s="11" t="n">
        <x:v>95.23135048194321</x:v>
      </x:c>
    </x:row>
    <x:row r="18" ht="15" hidden="0" customHeight="1">
      <x:c r="A18" s="7" t="str">
        <x:v>Davey-drift weighted</x:v>
      </x:c>
      <x:c r="B18" s="7" t="str">
        <x:v>Earlier descent completed/low-level</x:v>
      </x:c>
      <x:c r="C18" s="9" t="n">
        <x:v>0.3333333333333333</x:v>
      </x:c>
      <x:c r="D18" s="9" t="n">
        <x:v>0.24897197298975776</x:v>
      </x:c>
      <x:c r="E18" s="9" t="n">
        <x:v>0.6630164628632758</x:v>
      </x:c>
      <x:c r="F18" s="11" t="n">
        <x:v>13879.65665546376</x:v>
      </x:c>
      <x:c r="G18" s="11" t="n">
        <x:v>142.02723735019254</x:v>
      </x:c>
    </x:row>
    <x:row r="19" ht="15" hidden="0" customHeight="1">
      <x:c r="A19" s="7" t="str">
        <x:v>Davey-drift weighted</x:v>
      </x:c>
      <x:c r="B19" s="7" t="str">
        <x:v>Active controlled descent</x:v>
      </x:c>
      <x:c r="C19" s="9" t="n">
        <x:v>0.3333333333333333</x:v>
      </x:c>
      <x:c r="D19" s="9" t="n">
        <x:v>0.24343396526301286</x:v>
      </x:c>
      <x:c r="E19" s="9" t="n">
        <x:v>0.6435233782273622</x:v>
      </x:c>
      <x:c r="F19" s="11" t="n">
        <x:v>16000.574681374603</x:v>
      </x:c>
      <x:c r="G19" s="11" t="n">
        <x:v>1129.8402976924185</x:v>
      </x:c>
    </x:row>
    <x:row r="20" ht="15" hidden="0" customHeight="1">
      <x:c r="A20" s="7" t="str">
        <x:v>Meta-drift weighted</x:v>
      </x:c>
      <x:c r="B20" s="7" t="str">
        <x:v>High-altitude/near-level</x:v>
      </x:c>
      <x:c r="C20" s="9" t="n">
        <x:v>0.3333333333333333</x:v>
      </x:c>
      <x:c r="D20" s="9" t="n">
        <x:v>0.5075940617472294</x:v>
      </x:c>
      <x:c r="E20" s="9" t="n">
        <x:v>2.0616894408233652</x:v>
      </x:c>
      <x:c r="F20" s="11" t="n">
        <x:v>34011.731936326614</x:v>
      </x:c>
      <x:c r="G20" s="11" t="n">
        <x:v>95.23135048194321</x:v>
      </x:c>
    </x:row>
    <x:row r="21" ht="15" hidden="0" customHeight="1">
      <x:c r="A21" s="7" t="str">
        <x:v>Meta-drift weighted</x:v>
      </x:c>
      <x:c r="B21" s="7" t="str">
        <x:v>Earlier descent completed/low-level</x:v>
      </x:c>
      <x:c r="C21" s="9" t="n">
        <x:v>0.3333333333333333</x:v>
      </x:c>
      <x:c r="D21" s="9" t="n">
        <x:v>0.24897197298975776</x:v>
      </x:c>
      <x:c r="E21" s="9" t="n">
        <x:v>0.6630164628632758</x:v>
      </x:c>
      <x:c r="F21" s="11" t="n">
        <x:v>13879.65665546376</x:v>
      </x:c>
      <x:c r="G21" s="11" t="n">
        <x:v>142.02723735019254</x:v>
      </x:c>
    </x:row>
    <x:row r="22" ht="15" hidden="0" customHeight="1">
      <x:c r="A22" s="8" t="str">
        <x:v>Meta-drift weighted</x:v>
      </x:c>
      <x:c r="B22" s="8" t="str">
        <x:v>Active controlled descent</x:v>
      </x:c>
      <x:c r="C22" s="10" t="n">
        <x:v>0.3333333333333333</x:v>
      </x:c>
      <x:c r="D22" s="10" t="n">
        <x:v>0.24343396526301286</x:v>
      </x:c>
      <x:c r="E22" s="10" t="n">
        <x:v>0.6435233782273622</x:v>
      </x:c>
      <x:c r="F22" s="12" t="n">
        <x:v>16000.574681374603</x:v>
      </x:c>
      <x:c r="G22" s="12" t="n">
        <x:v>1129.8402976924185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670000076293945" hidden="0" customWidth="1"/>
    <x:col min="2" max="2" width="17.559999465942383" hidden="0" customWidth="1"/>
    <x:col min="3" max="3" width="20.110000610351562" hidden="0" customWidth="1"/>
    <x:col min="4" max="4" width="19" hidden="0" customWidth="1"/>
    <x:col min="5" max="5" width="14.890000343322754" hidden="0" customWidth="1"/>
    <x:col min="6" max="6" width="15.670000076293945" hidden="0" customWidth="1"/>
    <x:col min="7" max="7" width="15.670000076293945" hidden="0" customWidth="1"/>
  </x:cols>
  <x:sheetData>
    <x:row r="1" ht="15" hidden="0" customHeight="1">
      <x:c r="A1" s="4" t="str">
        <x:v>case</x:v>
      </x:c>
      <x:c r="B1" s="4" t="str">
        <x:v>impact_mode_lat_deg</x:v>
      </x:c>
      <x:c r="C1" s="4" t="str">
        <x:v>impact_mode_lon_deg_E</x:v>
      </x:c>
      <x:c r="D1" s="4" t="str">
        <x:v>impact_median_lat_deg</x:v>
      </x:c>
      <x:c r="E1" s="4" t="str">
        <x:v>impact_lat_95_low</x:v>
      </x:c>
      <x:c r="F1" s="4" t="str">
        <x:v>impact_lat_95_high</x:v>
      </x:c>
      <x:c r="G1" s="4" t="str">
        <x:v>prob_south_of_36S</x:v>
      </x:c>
    </x:row>
    <x:row r="2" ht="15" hidden="0" customHeight="1">
      <x:c r="A2" s="7" t="str">
        <x:v>Primary equal-control priors</x:v>
      </x:c>
      <x:c r="B2" s="9" t="n">
        <x:v>-37.2625</x:v>
      </x:c>
      <x:c r="C2" s="9" t="n">
        <x:v>89.2375</x:v>
      </x:c>
      <x:c r="D2" s="9" t="n">
        <x:v>-37.03148801790519</x:v>
      </x:c>
      <x:c r="E2" s="9" t="n">
        <x:v>-39.14521255645312</x:v>
      </x:c>
      <x:c r="F2" s="9" t="n">
        <x:v>-33.220915040307325</x:v>
      </x:c>
      <x:c r="G2" s="9" t="n">
        <x:v>0.7292853166453828</x:v>
      </x:c>
    </x:row>
    <x:row r="3" ht="15" hidden="0" customHeight="1">
      <x:c r="A3" s="7" t="str">
        <x:v>Cruise-heavy prior</x:v>
      </x:c>
      <x:c r="B3" s="9" t="n">
        <x:v>-37.5625</x:v>
      </x:c>
      <x:c r="C3" s="9" t="n">
        <x:v>89.1375</x:v>
      </x:c>
      <x:c r="D3" s="9" t="n">
        <x:v>-37.1387603035561</x:v>
      </x:c>
      <x:c r="E3" s="9" t="n">
        <x:v>-39.26832113167674</x:v>
      </x:c>
      <x:c r="F3" s="9" t="n">
        <x:v>-33.30705216708097</x:v>
      </x:c>
      <x:c r="G3" s="9" t="n">
        <x:v>0.7423515155766339</x:v>
      </x:c>
    </x:row>
    <x:row r="4" ht="15" hidden="0" customHeight="1">
      <x:c r="A4" s="7" t="str">
        <x:v>Descent-open prior</x:v>
      </x:c>
      <x:c r="B4" s="9" t="n">
        <x:v>-37.2375</x:v>
      </x:c>
      <x:c r="C4" s="9" t="n">
        <x:v>89.2875</x:v>
      </x:c>
      <x:c r="D4" s="9" t="n">
        <x:v>-36.99221938555651</x:v>
      </x:c>
      <x:c r="E4" s="9" t="n">
        <x:v>-39.08984851633155</x:v>
      </x:c>
      <x:c r="F4" s="9" t="n">
        <x:v>-33.18517680700629</x:v>
      </x:c>
      <x:c r="G4" s="9" t="n">
        <x:v>0.7244979890734731</x:v>
      </x:c>
    </x:row>
    <x:row r="5" ht="15" hidden="0" customHeight="1">
      <x:c r="A5" s="7" t="str">
        <x:v>Tighter vertical-BFO model</x:v>
      </x:c>
      <x:c r="B5" s="9" t="n">
        <x:v>-37.3875</x:v>
      </x:c>
      <x:c r="C5" s="9" t="n">
        <x:v>89.1375</x:v>
      </x:c>
      <x:c r="D5" s="9" t="n">
        <x:v>-37.06579882552999</x:v>
      </x:c>
      <x:c r="E5" s="9" t="n">
        <x:v>-39.176183057962795</x:v>
      </x:c>
      <x:c r="F5" s="9" t="n">
        <x:v>-33.24907744033511</x:v>
      </x:c>
      <x:c r="G5" s="9" t="n">
        <x:v>0.7341029557189134</x:v>
      </x:c>
    </x:row>
    <x:row r="6" ht="15" hidden="0" customHeight="1">
      <x:c r="A6" s="7" t="str">
        <x:v>Looser vertical-BFO model</x:v>
      </x:c>
      <x:c r="B6" s="9" t="n">
        <x:v>-37.287499999999994</x:v>
      </x:c>
      <x:c r="C6" s="9" t="n">
        <x:v>89.1375</x:v>
      </x:c>
      <x:c r="D6" s="9" t="n">
        <x:v>-37.00721272534696</x:v>
      </x:c>
      <x:c r="E6" s="9" t="n">
        <x:v>-39.12151530959736</x:v>
      </x:c>
      <x:c r="F6" s="9" t="n">
        <x:v>-33.19168396318569</x:v>
      </x:c>
      <x:c r="G6" s="9" t="n">
        <x:v>0.726358419003205</x:v>
      </x:c>
    </x:row>
    <x:row r="7" ht="15" hidden="0" customHeight="1">
      <x:c r="A7" s="7" t="str">
        <x:v>Davey-drift weighted</x:v>
      </x:c>
      <x:c r="B7" s="9" t="n">
        <x:v>-37.2625</x:v>
      </x:c>
      <x:c r="C7" s="9" t="n">
        <x:v>89.2375</x:v>
      </x:c>
      <x:c r="D7" s="9" t="n">
        <x:v>-37.053804373546996</x:v>
      </x:c>
      <x:c r="E7" s="9" t="n">
        <x:v>-39.16701188474378</x:v>
      </x:c>
      <x:c r="F7" s="9" t="n">
        <x:v>-33.19031305426322</x:v>
      </x:c>
      <x:c r="G7" s="9" t="n">
        <x:v>0.7328718856194191</x:v>
      </x:c>
    </x:row>
    <x:row r="8" ht="15" hidden="0" customHeight="1">
      <x:c r="A8" s="8" t="str">
        <x:v>Meta-drift weighted</x:v>
      </x:c>
      <x:c r="B8" s="10" t="n">
        <x:v>-37.2625</x:v>
      </x:c>
      <x:c r="C8" s="10" t="n">
        <x:v>89.2375</x:v>
      </x:c>
      <x:c r="D8" s="10" t="n">
        <x:v>-37.00945638462833</x:v>
      </x:c>
      <x:c r="E8" s="10" t="n">
        <x:v>-39.12209587582696</x:v>
      </x:c>
      <x:c r="F8" s="10" t="n">
        <x:v>-33.25163455670375</x:v>
      </x:c>
      <x:c r="G8" s="10" t="n">
        <x:v>0.7256987476713468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670000076293945" hidden="0" customWidth="1"/>
    <x:col min="2" max="2" width="30" hidden="0" customWidth="1"/>
    <x:col min="3" max="3" width="13.4399995803833" hidden="0" customWidth="1"/>
    <x:col min="4" max="4" width="25.329999923706055" hidden="0" customWidth="1"/>
    <x:col min="5" max="5" width="24.329999923706055" hidden="0" customWidth="1"/>
    <x:col min="6" max="6" width="21.440000534057617" hidden="0" customWidth="1"/>
    <x:col min="7" max="7" width="28.440000534057617" hidden="0" customWidth="1"/>
    <x:col min="8" max="8" width="25.889999389648438" hidden="0" customWidth="1"/>
  </x:cols>
  <x:sheetData>
    <x:row r="1" ht="15" hidden="0" customHeight="1">
      <x:c r="A1" s="4" t="str">
        <x:v>case</x:v>
      </x:c>
      <x:c r="B1" s="4" t="str">
        <x:v>terminal_scenario</x:v>
      </x:c>
      <x:c r="C1" s="4" t="str">
        <x:v>prior_probability</x:v>
      </x:c>
      <x:c r="D1" s="4" t="str">
        <x:v>posterior_probability_after_drift</x:v>
      </x:c>
      <x:c r="E1" s="4" t="str">
        <x:v>median_terminal_distance_nm</x:v>
      </x:c>
      <x:c r="F1" s="4" t="str">
        <x:v>q95_terminal_distance_nm</x:v>
      </x:c>
      <x:c r="G1" s="4" t="str">
        <x:v>median_impact_minutes_after_0011</x:v>
      </x:c>
      <x:c r="H1" s="4" t="str">
        <x:v>probability_airborne_at_0019_29</x:v>
      </x:c>
    </x:row>
    <x:row r="2" ht="15" hidden="0" customHeight="1">
      <x:c r="A2" s="7" t="str">
        <x:v>Primary equal-control priors</x:v>
      </x:c>
      <x:c r="B2" s="7" t="str">
        <x:v>Controlled descent/ditch (power if available)</x:v>
      </x:c>
      <x:c r="C2" s="9" t="n">
        <x:v>0.3333333333333333</x:v>
      </x:c>
      <x:c r="D2" s="9" t="n">
        <x:v>0.3372925145535681</x:v>
      </x:c>
      <x:c r="E2" s="9" t="n">
        <x:v>62.27801022386716</x:v>
      </x:c>
      <x:c r="F2" s="9" t="n">
        <x:v>119.75798733807225</x:v>
      </x:c>
      <x:c r="G2" s="9" t="n">
        <x:v>12.023803616955464</x:v>
      </x:c>
      <x:c r="H2" s="9" t="n">
        <x:v>0.6925402016080643</x:v>
      </x:c>
    </x:row>
    <x:row r="3" ht="15" hidden="0" customHeight="1">
      <x:c r="A3" s="7" t="str">
        <x:v>Primary equal-control priors</x:v>
      </x:c>
      <x:c r="B3" s="7" t="str">
        <x:v>Fuel exhaustion + controlled glide</x:v>
      </x:c>
      <x:c r="C3" s="9" t="n">
        <x:v>0.3333333333333333</x:v>
      </x:c>
      <x:c r="D3" s="9" t="n">
        <x:v>0.32818064629399835</x:v>
      </x:c>
      <x:c r="E3" s="9" t="n">
        <x:v>79.38631123247687</x:v>
      </x:c>
      <x:c r="F3" s="9" t="n">
        <x:v>155.50954421984466</x:v>
      </x:c>
      <x:c r="G3" s="9" t="n">
        <x:v>15.068757364637209</x:v>
      </x:c>
      <x:c r="H3" s="9" t="n">
        <x:v>0.8431520562702933</x:v>
      </x:c>
    </x:row>
    <x:row r="4" ht="15" hidden="0" customHeight="1">
      <x:c r="A4" s="7" t="str">
        <x:v>Primary equal-control priors</x:v>
      </x:c>
      <x:c r="B4" s="7" t="str">
        <x:v>Fuel exhaustion + short uncontrolled descent</x:v>
      </x:c>
      <x:c r="C4" s="9" t="n">
        <x:v>0.3333333333333333</x:v>
      </x:c>
      <x:c r="D4" s="9" t="n">
        <x:v>0.33452683915243353</x:v>
      </x:c>
      <x:c r="E4" s="9" t="n">
        <x:v>59.77129252889624</x:v>
      </x:c>
      <x:c r="F4" s="9" t="n">
        <x:v>113.01744696621796</x:v>
      </x:c>
      <x:c r="G4" s="9" t="n">
        <x:v>9.999565278777888</x:v>
      </x:c>
      <x:c r="H4" s="9" t="n">
        <x:v>0.6300959877183727</x:v>
      </x:c>
    </x:row>
    <x:row r="5" ht="15" hidden="0" customHeight="1">
      <x:c r="A5" s="7" t="str">
        <x:v>Cruise-heavy prior</x:v>
      </x:c>
      <x:c r="B5" s="7" t="str">
        <x:v>Controlled descent/ditch (power if available)</x:v>
      </x:c>
      <x:c r="C5" s="9" t="n">
        <x:v>0.3333333333333333</x:v>
      </x:c>
      <x:c r="D5" s="9" t="n">
        <x:v>0.33580457645690487</x:v>
      </x:c>
      <x:c r="E5" s="9" t="n">
        <x:v>74.72304132894388</x:v>
      </x:c>
      <x:c r="F5" s="9" t="n">
        <x:v>125.57469171327531</x:v>
      </x:c>
      <x:c r="G5" s="9" t="n">
        <x:v>14.175218653618039</x:v>
      </x:c>
      <x:c r="H5" s="9" t="n">
        <x:v>0.8184152366094644</x:v>
      </x:c>
    </x:row>
    <x:row r="6" ht="15" hidden="0" customHeight="1">
      <x:c r="A6" s="7" t="str">
        <x:v>Cruise-heavy prior</x:v>
      </x:c>
      <x:c r="B6" s="7" t="str">
        <x:v>Fuel exhaustion + controlled glide</x:v>
      </x:c>
      <x:c r="C6" s="9" t="n">
        <x:v>0.3333333333333333</x:v>
      </x:c>
      <x:c r="D6" s="9" t="n">
        <x:v>0.32767296112756494</x:v>
      </x:c>
      <x:c r="E6" s="9" t="n">
        <x:v>90.8039939831462</x:v>
      </x:c>
      <x:c r="F6" s="9" t="n">
        <x:v>163.8295043055794</x:v>
      </x:c>
      <x:c r="G6" s="9" t="n">
        <x:v>17.150131048793337</x:v>
      </x:c>
      <x:c r="H6" s="9" t="n">
        <x:v>0.8911712729554152</x:v>
      </x:c>
    </x:row>
    <x:row r="7" ht="15" hidden="0" customHeight="1">
      <x:c r="A7" s="7" t="str">
        <x:v>Cruise-heavy prior</x:v>
      </x:c>
      <x:c r="B7" s="7" t="str">
        <x:v>Fuel exhaustion + short uncontrolled descent</x:v>
      </x:c>
      <x:c r="C7" s="9" t="n">
        <x:v>0.3333333333333333</x:v>
      </x:c>
      <x:c r="D7" s="9" t="n">
        <x:v>0.3365224624155303</x:v>
      </x:c>
      <x:c r="E7" s="9" t="n">
        <x:v>62.778175125434174</x:v>
      </x:c>
      <x:c r="F7" s="9" t="n">
        <x:v>117.18130178103496</x:v>
      </x:c>
      <x:c r="G7" s="9" t="n">
        <x:v>9.999565278777888</x:v>
      </x:c>
      <x:c r="H7" s="9" t="n">
        <x:v>0.6300959877183727</x:v>
      </x:c>
    </x:row>
    <x:row r="8" ht="15" hidden="0" customHeight="1">
      <x:c r="A8" s="7" t="str">
        <x:v>Descent-open prior</x:v>
      </x:c>
      <x:c r="B8" s="7" t="str">
        <x:v>Controlled descent/ditch (power if available)</x:v>
      </x:c>
      <x:c r="C8" s="9" t="n">
        <x:v>0.3333333333333333</x:v>
      </x:c>
      <x:c r="D8" s="9" t="n">
        <x:v>0.33785571222679506</x:v>
      </x:c>
      <x:c r="E8" s="9" t="n">
        <x:v>56.543167037047</x:v>
      </x:c>
      <x:c r="F8" s="9" t="n">
        <x:v>116.81815897834218</x:v>
      </x:c>
      <x:c r="G8" s="9" t="n">
        <x:v>11.049842106866013</x:v>
      </x:c>
      <x:c r="H8" s="9" t="n">
        <x:v>0.6434782391295651</x:v>
      </x:c>
    </x:row>
    <x:row r="9" ht="15" hidden="0" customHeight="1">
      <x:c r="A9" s="7" t="str">
        <x:v>Descent-open prior</x:v>
      </x:c>
      <x:c r="B9" s="7" t="str">
        <x:v>Fuel exhaustion + controlled glide</x:v>
      </x:c>
      <x:c r="C9" s="9" t="n">
        <x:v>0.3333333333333333</x:v>
      </x:c>
      <x:c r="D9" s="9" t="n">
        <x:v>0.32837432755576546</x:v>
      </x:c>
      <x:c r="E9" s="9" t="n">
        <x:v>75.11025815303742</x:v>
      </x:c>
      <x:c r="F9" s="9" t="n">
        <x:v>150.9885964911817</x:v>
      </x:c>
      <x:c r="G9" s="9" t="n">
        <x:v>14.302038222517385</x:v>
      </x:c>
      <x:c r="H9" s="9" t="n">
        <x:v>0.8218732268683652</x:v>
      </x:c>
    </x:row>
    <x:row r="10" ht="15" hidden="0" customHeight="1">
      <x:c r="A10" s="7" t="str">
        <x:v>Descent-open prior</x:v>
      </x:c>
      <x:c r="B10" s="7" t="str">
        <x:v>Fuel exhaustion + short uncontrolled descent</x:v>
      </x:c>
      <x:c r="C10" s="9" t="n">
        <x:v>0.3333333333333333</x:v>
      </x:c>
      <x:c r="D10" s="9" t="n">
        <x:v>0.33376996021743943</x:v>
      </x:c>
      <x:c r="E10" s="9" t="n">
        <x:v>58.62309538171557</x:v>
      </x:c>
      <x:c r="F10" s="9" t="n">
        <x:v>111.15800675699536</x:v>
      </x:c>
      <x:c r="G10" s="9" t="n">
        <x:v>9.999565278777888</x:v>
      </x:c>
      <x:c r="H10" s="9" t="n">
        <x:v>0.6300959877183727</x:v>
      </x:c>
    </x:row>
    <x:row r="11" ht="15" hidden="0" customHeight="1">
      <x:c r="A11" s="7" t="str">
        <x:v>Tighter vertical-BFO model</x:v>
      </x:c>
      <x:c r="B11" s="7" t="str">
        <x:v>Controlled descent/ditch (power if available)</x:v>
      </x:c>
      <x:c r="C11" s="9" t="n">
        <x:v>0.3333333333333333</x:v>
      </x:c>
      <x:c r="D11" s="9" t="n">
        <x:v>0.3367431177533693</x:v>
      </x:c>
      <x:c r="E11" s="9" t="n">
        <x:v>65.35777637477423</x:v>
      </x:c>
      <x:c r="F11" s="9" t="n">
        <x:v>121.30655831340917</x:v>
      </x:c>
      <x:c r="G11" s="9" t="n">
        <x:v>12.543649519011012</x:v>
      </x:c>
      <x:c r="H11" s="9" t="n">
        <x:v>0.7292491699667987</x:v>
      </x:c>
    </x:row>
    <x:row r="12" ht="15" hidden="0" customHeight="1">
      <x:c r="A12" s="7" t="str">
        <x:v>Tighter vertical-BFO model</x:v>
      </x:c>
      <x:c r="B12" s="7" t="str">
        <x:v>Fuel exhaustion + controlled glide</x:v>
      </x:c>
      <x:c r="C12" s="9" t="n">
        <x:v>0.3333333333333333</x:v>
      </x:c>
      <x:c r="D12" s="9" t="n">
        <x:v>0.3280535819690878</x:v>
      </x:c>
      <x:c r="E12" s="9" t="n">
        <x:v>82.79743383810303</x:v>
      </x:c>
      <x:c r="F12" s="9" t="n">
        <x:v>157.43872160002243</x:v>
      </x:c>
      <x:c r="G12" s="9" t="n">
        <x:v>15.722527375301336</x:v>
      </x:c>
      <x:c r="H12" s="9" t="n">
        <x:v>0.8646833421234837</x:v>
      </x:c>
    </x:row>
    <x:row r="13" ht="15" hidden="0" customHeight="1">
      <x:c r="A13" s="7" t="str">
        <x:v>Tighter vertical-BFO model</x:v>
      </x:c>
      <x:c r="B13" s="7" t="str">
        <x:v>Fuel exhaustion + short uncontrolled descent</x:v>
      </x:c>
      <x:c r="C13" s="9" t="n">
        <x:v>0.3333333333333333</x:v>
      </x:c>
      <x:c r="D13" s="9" t="n">
        <x:v>0.33520330027754297</x:v>
      </x:c>
      <x:c r="E13" s="9" t="n">
        <x:v>60.576280009181865</x:v>
      </x:c>
      <x:c r="F13" s="9" t="n">
        <x:v>114.03059893162411</x:v>
      </x:c>
      <x:c r="G13" s="9" t="n">
        <x:v>9.999565278777888</x:v>
      </x:c>
      <x:c r="H13" s="9" t="n">
        <x:v>0.6300959877183727</x:v>
      </x:c>
    </x:row>
    <x:row r="14" ht="15" hidden="0" customHeight="1">
      <x:c r="A14" s="7" t="str">
        <x:v>Looser vertical-BFO model</x:v>
      </x:c>
      <x:c r="B14" s="7" t="str">
        <x:v>Controlled descent/ditch (power if available)</x:v>
      </x:c>
      <x:c r="C14" s="9" t="n">
        <x:v>0.3333333333333333</x:v>
      </x:c>
      <x:c r="D14" s="9" t="n">
        <x:v>0.337664040530607</x:v>
      </x:c>
      <x:c r="E14" s="9" t="n">
        <x:v>59.76745664151714</x:v>
      </x:c>
      <x:c r="F14" s="9" t="n">
        <x:v>118.81835376846092</x:v>
      </x:c>
      <x:c r="G14" s="9" t="n">
        <x:v>11.59185248695305</x:v>
      </x:c>
      <x:c r="H14" s="9" t="n">
        <x:v>0.6626740069602784</x:v>
      </x:c>
    </x:row>
    <x:row r="15" ht="15" hidden="0" customHeight="1">
      <x:c r="A15" s="7" t="str">
        <x:v>Looser vertical-BFO model</x:v>
      </x:c>
      <x:c r="B15" s="7" t="str">
        <x:v>Fuel exhaustion + controlled glide</x:v>
      </x:c>
      <x:c r="C15" s="9" t="n">
        <x:v>0.3333333333333333</x:v>
      </x:c>
      <x:c r="D15" s="9" t="n">
        <x:v>0.32826757174864185</x:v>
      </x:c>
      <x:c r="E15" s="9" t="n">
        <x:v>76.59751553482002</x:v>
      </x:c>
      <x:c r="F15" s="9" t="n">
        <x:v>153.79331143947138</x:v>
      </x:c>
      <x:c r="G15" s="9" t="n">
        <x:v>14.56094759090861</x:v>
      </x:c>
      <x:c r="H15" s="9" t="n">
        <x:v>0.8243103064721335</x:v>
      </x:c>
    </x:row>
    <x:row r="16" ht="15" hidden="0" customHeight="1">
      <x:c r="A16" s="7" t="str">
        <x:v>Looser vertical-BFO model</x:v>
      </x:c>
      <x:c r="B16" s="7" t="str">
        <x:v>Fuel exhaustion + short uncontrolled descent</x:v>
      </x:c>
      <x:c r="C16" s="9" t="n">
        <x:v>0.3333333333333333</x:v>
      </x:c>
      <x:c r="D16" s="9" t="n">
        <x:v>0.3340683877207512</x:v>
      </x:c>
      <x:c r="E16" s="9" t="n">
        <x:v>58.98765791458717</x:v>
      </x:c>
      <x:c r="F16" s="9" t="n">
        <x:v>112.19019223897178</x:v>
      </x:c>
      <x:c r="G16" s="9" t="n">
        <x:v>9.999565278777888</x:v>
      </x:c>
      <x:c r="H16" s="9" t="n">
        <x:v>0.6300959877183727</x:v>
      </x:c>
    </x:row>
    <x:row r="17" ht="15" hidden="0" customHeight="1">
      <x:c r="A17" s="7" t="str">
        <x:v>Davey-drift weighted</x:v>
      </x:c>
      <x:c r="B17" s="7" t="str">
        <x:v>Controlled descent/ditch (power if available)</x:v>
      </x:c>
      <x:c r="C17" s="9" t="n">
        <x:v>0.3333333333333333</x:v>
      </x:c>
      <x:c r="D17" s="9" t="n">
        <x:v>0.3365233428741634</x:v>
      </x:c>
      <x:c r="E17" s="9" t="n">
        <x:v>62.27801022386716</x:v>
      </x:c>
      <x:c r="F17" s="9" t="n">
        <x:v>119.75798733807225</x:v>
      </x:c>
      <x:c r="G17" s="9" t="n">
        <x:v>12.023803616955464</x:v>
      </x:c>
      <x:c r="H17" s="9" t="n">
        <x:v>0.6925402016080643</x:v>
      </x:c>
    </x:row>
    <x:row r="18" ht="15" hidden="0" customHeight="1">
      <x:c r="A18" s="7" t="str">
        <x:v>Davey-drift weighted</x:v>
      </x:c>
      <x:c r="B18" s="7" t="str">
        <x:v>Fuel exhaustion + controlled glide</x:v>
      </x:c>
      <x:c r="C18" s="9" t="n">
        <x:v>0.3333333333333333</x:v>
      </x:c>
      <x:c r="D18" s="9" t="n">
        <x:v>0.3291964829644255</x:v>
      </x:c>
      <x:c r="E18" s="9" t="n">
        <x:v>79.38631123247687</x:v>
      </x:c>
      <x:c r="F18" s="9" t="n">
        <x:v>155.50954421984466</x:v>
      </x:c>
      <x:c r="G18" s="9" t="n">
        <x:v>15.068757364637209</x:v>
      </x:c>
      <x:c r="H18" s="9" t="n">
        <x:v>0.8431520562702933</x:v>
      </x:c>
    </x:row>
    <x:row r="19" ht="15" hidden="0" customHeight="1">
      <x:c r="A19" s="7" t="str">
        <x:v>Davey-drift weighted</x:v>
      </x:c>
      <x:c r="B19" s="7" t="str">
        <x:v>Fuel exhaustion + short uncontrolled descent</x:v>
      </x:c>
      <x:c r="C19" s="9" t="n">
        <x:v>0.3333333333333333</x:v>
      </x:c>
      <x:c r="D19" s="9" t="n">
        <x:v>0.3342801741614111</x:v>
      </x:c>
      <x:c r="E19" s="9" t="n">
        <x:v>59.77129252889624</x:v>
      </x:c>
      <x:c r="F19" s="9" t="n">
        <x:v>113.01744696621796</x:v>
      </x:c>
      <x:c r="G19" s="9" t="n">
        <x:v>9.999565278777888</x:v>
      </x:c>
      <x:c r="H19" s="9" t="n">
        <x:v>0.6300959877183727</x:v>
      </x:c>
    </x:row>
    <x:row r="20" ht="15" hidden="0" customHeight="1">
      <x:c r="A20" s="7" t="str">
        <x:v>Meta-drift weighted</x:v>
      </x:c>
      <x:c r="B20" s="7" t="str">
        <x:v>Controlled descent/ditch (power if available)</x:v>
      </x:c>
      <x:c r="C20" s="9" t="n">
        <x:v>0.3333333333333333</x:v>
      </x:c>
      <x:c r="D20" s="9" t="n">
        <x:v>0.33806168623297284</x:v>
      </x:c>
      <x:c r="E20" s="9" t="n">
        <x:v>62.27801022386716</x:v>
      </x:c>
      <x:c r="F20" s="9" t="n">
        <x:v>119.75798733807225</x:v>
      </x:c>
      <x:c r="G20" s="9" t="n">
        <x:v>12.023803616955464</x:v>
      </x:c>
      <x:c r="H20" s="9" t="n">
        <x:v>0.6925402016080643</x:v>
      </x:c>
    </x:row>
    <x:row r="21" ht="15" hidden="0" customHeight="1">
      <x:c r="A21" s="7" t="str">
        <x:v>Meta-drift weighted</x:v>
      </x:c>
      <x:c r="B21" s="7" t="str">
        <x:v>Fuel exhaustion + controlled glide</x:v>
      </x:c>
      <x:c r="C21" s="9" t="n">
        <x:v>0.3333333333333333</x:v>
      </x:c>
      <x:c r="D21" s="9" t="n">
        <x:v>0.32716480962357114</x:v>
      </x:c>
      <x:c r="E21" s="9" t="n">
        <x:v>79.38631123247687</x:v>
      </x:c>
      <x:c r="F21" s="9" t="n">
        <x:v>155.50954421984466</x:v>
      </x:c>
      <x:c r="G21" s="9" t="n">
        <x:v>15.068757364637209</x:v>
      </x:c>
      <x:c r="H21" s="9" t="n">
        <x:v>0.8431520562702933</x:v>
      </x:c>
    </x:row>
    <x:row r="22" ht="15" hidden="0" customHeight="1">
      <x:c r="A22" s="8" t="str">
        <x:v>Meta-drift weighted</x:v>
      </x:c>
      <x:c r="B22" s="8" t="str">
        <x:v>Fuel exhaustion + short uncontrolled descent</x:v>
      </x:c>
      <x:c r="C22" s="10" t="n">
        <x:v>0.3333333333333333</x:v>
      </x:c>
      <x:c r="D22" s="10" t="n">
        <x:v>0.33477350414345597</x:v>
      </x:c>
      <x:c r="E22" s="10" t="n">
        <x:v>59.77129252889624</x:v>
      </x:c>
      <x:c r="F22" s="10" t="n">
        <x:v>113.01744696621796</x:v>
      </x:c>
      <x:c r="G22" s="10" t="n">
        <x:v>9.999565278777888</x:v>
      </x:c>
      <x:c r="H22" s="10" t="n">
        <x:v>0.6300959877183727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5" hidden="0" customWidth="1"/>
  </x:cols>
  <x:sheetData>
    <x:row r="1" ht="15" hidden="0" customHeight="1">
      <x:c r="A1" s="4" t="str">
        <x:v>parameter</x:v>
      </x:c>
      <x:c r="B1" s="4" t="str">
        <x:v>primary_value_or_method</x:v>
      </x:c>
    </x:row>
    <x:row r="2" ht="15" hidden="0" customHeight="1">
      <x:c r="A2" s="7" t="str">
        <x:v>Observation cutoff</x:v>
      </x:c>
      <x:c r="B2" s="13" t="str">
        <x:v>00:11:00 UTC; no 00:19 measurement likelihood</x:v>
      </x:c>
    </x:row>
    <x:row r="3" ht="15" hidden="0" customHeight="1">
      <x:c r="A3" s="7" t="str">
        <x:v>Satellite/RF proposal</x:v>
      </x:c>
      <x:c r="B3" s="13" t="str">
        <x:v>Refined v3 BTO+BFO+received-power/3-D-gain SMC summary reconstruction</x:v>
      </x:c>
    </x:row>
    <x:row r="4" ht="15" hidden="0" customHeight="1">
      <x:c r="A4" s="7" t="str">
        <x:v>Gain precompensation</x:v>
      </x:c>
      <x:c r="B4" s="13" t="str">
        <x:v>Gain-survival coefficient already marginalized in proposal; posterior mean 0.677</x:v>
      </x:c>
    </x:row>
    <x:row r="5" ht="15" hidden="0" customHeight="1">
      <x:c r="A5" s="7" t="str">
        <x:v>Control-family prior</x:v>
      </x:c>
      <x:c r="B5" s="13" t="str">
        <x:v>Equal 1/3: high-level, completed lower-level descent, active controlled descent</x:v>
      </x:c>
    </x:row>
    <x:row r="6" ht="15" hidden="0" customHeight="1">
      <x:c r="A6" s="7" t="str">
        <x:v>BFO vertical coefficient</x:v>
      </x:c>
      <x:c r="B6" s="13" t="str">
        <x:v>0.009 Hz/fpm</x:v>
      </x:c>
    </x:row>
    <x:row r="7" ht="15" hidden="0" customHeight="1">
      <x:c r="A7" s="7" t="str">
        <x:v>Effective vertical-BFO sigma</x:v>
      </x:c>
      <x:c r="B7" s="13" t="str">
        <x:v>12.0 Hz; sensitivity 8 and 18 Hz</x:v>
      </x:c>
    </x:row>
    <x:row r="8" ht="15" hidden="0" customHeight="1">
      <x:c r="A8" s="7" t="str">
        <x:v>Low/descent duration</x:v>
      </x:c>
      <x:c r="B8" s="13" t="str">
        <x:v>5–120 min completed low phase; 2–45 min active descent</x:v>
      </x:c>
    </x:row>
    <x:row r="9" ht="15" hidden="0" customHeight="1">
      <x:c r="A9" s="7" t="str">
        <x:v>Performance ceiling</x:v>
      </x:c>
      <x:c r="B9" s="13" t="str">
        <x:v>M0.84 plus 15 kt favorable-wind hard-envelope check</x:v>
      </x:c>
    </x:row>
    <x:row r="10" ht="15" hidden="0" customHeight="1">
      <x:c r="A10" s="7" t="str">
        <x:v>Fuel-exhaustion time after 00:11</x:v>
      </x:c>
      <x:c r="B10" s="13" t="str">
        <x:v>Truncated Normal(8.0 min, 4.5 min), 0–25 min; not conditioned on 00:19</x:v>
      </x:c>
    </x:row>
    <x:row r="11" ht="15" hidden="0" customHeight="1">
      <x:c r="A11" s="7" t="str">
        <x:v>Controlled glide</x:v>
      </x:c>
      <x:c r="B11" s="13" t="str">
        <x:v>L/D Uniform(12,18), altitude-scaled; 70% forward-biased, 30% any bearing</x:v>
      </x:c>
    </x:row>
    <x:row r="12" ht="15" hidden="0" customHeight="1">
      <x:c r="A12" s="7" t="str">
        <x:v>Terminal-scenario prior</x:v>
      </x:c>
      <x:c r="B12" s="13" t="str">
        <x:v>Equal 1/3 powered controlled ditch, controlled glide, short uncontrolled descent</x:v>
      </x:c>
    </x:row>
    <x:row r="13" ht="15" hidden="0" customHeight="1">
      <x:c r="A13" s="7" t="str">
        <x:v>Drift model average</x:v>
      </x:c>
      <x:c r="B13" s="13" t="str">
        <x:v>50% Davey Fig. 11.2 smooth digitization, 50% 12-study meta-analysis latitude model</x:v>
      </x:c>
    </x:row>
    <x:row r="14" ht="15" hidden="0" customHeight="1">
      <x:c r="A14" s="7" t="str">
        <x:v>Davey drift use</x:v>
      </x:c>
      <x:c r="B14" s="13" t="str">
        <x:v>Relative likelihood, normalized to unit mean over impact prior</x:v>
      </x:c>
    </x:row>
    <x:row r="15" ht="15" hidden="0" customHeight="1">
      <x:c r="A15" s="7" t="str">
        <x:v>Meta drift use</x:v>
      </x:c>
      <x:c r="B15" s="13" t="str">
        <x:v>Normal latitude mean 30.2°S, SD 6.63° from reported 12°S–38°S 95% range</x:v>
      </x:c>
    </x:row>
    <x:row r="16" ht="15" hidden="0" customHeight="1">
      <x:c r="A16" s="8" t="str">
        <x:v>Monte Carlo</x:v>
      </x:c>
      <x:c r="B16" s="14" t="str">
        <x:v>900,000 airborne augmentations; 1,200,000 terminal propagations; seed 3700011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 ht="15" hidden="0" customHeight="1">
      <x:c r="A1" s="39" t="str">
        <x:v>Source / limitation</x:v>
      </x:c>
      <x:c r="B1" s="39" t="str">
        <x:v>Use in this run</x:v>
      </x:c>
    </x:row>
    <x:row r="2" ht="15" hidden="0" customHeight="1">
      <x:c r="A2" s="13" t="str">
        <x:v>Refined v3 00:11 SMC notes and summary</x:v>
      </x:c>
      <x:c r="B2" s="13" t="str">
        <x:v>Proposal for BTO, BFO, received power, 3-D AES gain, correlated BFO bias, radar and stochastic dynamics.</x:v>
      </x:c>
    </x:row>
    <x:row r="3" ht="24" hidden="0" customHeight="1">
      <x:c r="A3" s="13" t="str">
        <x:v>Davey et al., Bayesian Methods in the Search for MH370 (2015)</x:v>
      </x:c>
      <x:c r="B3" s="13" t="str">
        <x:v>Radar prior, trajectory process, aircraft-performance bounds, ~100 nmi maximum controlled glide, and weak Reunion-debris drift likelihood.</x:v>
      </x:c>
    </x:row>
    <x:row r="4" ht="15" hidden="0" customHeight="1">
      <x:c r="A4" s="13" t="str">
        <x:v>MH370 drift meta-analysis</x:v>
      </x:c>
      <x:c r="B4" s="13" t="str">
        <x:v>Alternative broad drift likelihood: 12-study mean 30.2°S and imputed 12°S–38°S 95% range.</x:v>
      </x:c>
    </x:row>
    <x:row r="5" ht="15" hidden="0" customHeight="1">
      <x:c r="A5" s="13" t="str">
        <x:v>9M-MRO Fuel Model V5.X</x:v>
      </x:c>
      <x:c r="B5" s="13" t="str">
        <x:v>Performance/endurance plausibility and fuel-exhaustion timing prior; full workbook equations were not reimplemented here.</x:v>
      </x:c>
    </x:row>
    <x:row r="6" ht="24" hidden="0" customHeight="1">
      <x:c r="A6" s="13" t="str">
        <x:v>Proposal limitation</x:v>
      </x:c>
      <x:c r="B6" s="13" t="str">
        <x:v>The project did not contain the refined v3 particle checkpoint. Its reported multimodal marginal was reconstructed and cross-arc geometry calibrated to the reported joint median.</x:v>
      </x:c>
    </x:row>
    <x:row r="7" ht="15" hidden="0" customHeight="1">
      <x:c r="A7" s="13" t="str">
        <x:v>Weather limitation</x:v>
      </x:c>
      <x:c r="B7" s="13" t="str">
        <x:v>Exact March 2014 ACCESS-G grids were not locally available. The inherited Davey wind-error treatment and broad terminal wind term are used.</x:v>
      </x:c>
    </x:row>
    <x:row r="8" ht="15" hidden="0" customHeight="1">
      <x:c r="A8" s="13" t="str">
        <x:v>00:19 exclusion</x:v>
      </x:c>
      <x:c r="B8" s="13" t="str">
        <x:v>No 00:19 BTO, BFO, log-on, or power measurement conditions this stage. Airborne-at-00:19 probabilities are diagnostics only.</x:v>
      </x:c>
    </x:row>
    <x:row r="9" ht="15" hidden="0" customHeight="1">
      <x:c r="A9" s="13" t="str">
        <x:v>Drift dependence</x:v>
      </x:c>
      <x:c r="B9" s="13" t="str">
        <x:v>Davey and meta-analysis studies are model-averaged after unit-mean normalization; dependent studies are not multiplied as independent evidence.</x:v>
      </x:c>
    </x:row>
    <x:row r="10" ht="15" hidden="0" customHeight="1">
      <x:c r="A10" s="14" t="str">
        <x:v>Interpretive status</x:v>
      </x:c>
      <x:c r="B10" s="14" t="str">
        <x:v>Research-grade stage-1 estimate. It is suitable for narrowing and testing hypotheses, not for declaring a unique crash point.</x:v>
      </x:c>
    </x:row>
  </x:sheetData>
  <x:pageMargins left="0.7" right="0.7" top="0.75" bottom="0.75" header="0.3" footer="0.3"/>
</x:worksheet>
</file>