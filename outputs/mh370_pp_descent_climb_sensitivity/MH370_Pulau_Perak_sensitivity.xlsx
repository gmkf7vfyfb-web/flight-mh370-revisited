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e7fbd224f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41f885a8ca47f6"/>
    <x:sheet xmlns:r="http://schemas.openxmlformats.org/officeDocument/2006/relationships" name="Scenario Results" sheetId="2" r:id="Re0c1ea4ea4e14373"/>
    <x:sheet xmlns:r="http://schemas.openxmlformats.org/officeDocument/2006/relationships" name="Posterior Results" sheetId="3" r:id="R164581749f494edb"/>
    <x:sheet xmlns:r="http://schemas.openxmlformats.org/officeDocument/2006/relationships" name="EOF Timing" sheetId="4" r:id="R2b0a20f1373a4c42"/>
    <x:sheet xmlns:r="http://schemas.openxmlformats.org/officeDocument/2006/relationships" name="PP Manoeuvre MC" sheetId="5" r:id="Rd3f44cf1ab5543f9"/>
    <x:sheet xmlns:r="http://schemas.openxmlformats.org/officeDocument/2006/relationships" name="Compensation" sheetId="6" r:id="R56fa3c3ec5d142ca"/>
    <x:sheet xmlns:r="http://schemas.openxmlformats.org/officeDocument/2006/relationships" name="Sensitivity Grid" sheetId="7" r:id="R07a2a25aa5bf47e7"/>
    <x:sheet xmlns:r="http://schemas.openxmlformats.org/officeDocument/2006/relationships" name="Distance Anchor Test" sheetId="8" r:id="Re335955ff00b4956"/>
    <x:sheet xmlns:r="http://schemas.openxmlformats.org/officeDocument/2006/relationships" name="Fuel Flow Examples" sheetId="9" r:id="Rc2216dac1cc04672"/>
    <x:sheet xmlns:r="http://schemas.openxmlformats.org/officeDocument/2006/relationships" name="Sources &amp; Limits" sheetId="10" r:id="R803434594ccf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sz val="9"/>
      <x:name val="Carlito"/>
    </x:font>
    <x:font>
      <x:b/>
      <x:sz val="18"/>
      <x:color rgb="FFFFFFFF"/>
      <x:name val="Carlito"/>
    </x:font>
    <x:font>
      <x:i/>
      <x:sz val="11"/>
      <x:color rgb="FF4A5B6A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A2033"/>
      </x:patternFill>
    </x:fill>
    <x:fill>
      <x:patternFill patternType="solid">
        <x:fgColor rgb="FFE8F0F6"/>
      </x:patternFill>
    </x:fill>
    <x:fill>
      <x:patternFill patternType="solid">
        <x:fgColor rgb="FFF3F7FA"/>
      </x:patternFill>
    </x:fill>
    <x:fill>
      <x:patternFill patternType="solid">
        <x:fgColor rgb="FF8A4B08"/>
      </x:patternFill>
    </x:fill>
    <x:fill>
      <x:patternFill patternType="solid">
        <x:fgColor rgb="FFFFF6E8"/>
      </x:patternFill>
    </x:fill>
  </x:fills>
  <x:borders count="2">
    <x:border/>
    <x:border>
      <x:bottom style="thin">
        <x:color rgb="FFD8E1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0" fillId="0" borderId="0" xfId="0" applyNumberFormat="1" applyFont="1" applyFill="1" applyBorder="1"/>
    <x:xf numFmtId="20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3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a303af12749ec" /><Relationship Type="http://schemas.openxmlformats.org/officeDocument/2006/relationships/theme" Target="/xl/theme/theme1.xml" Id="Ra902a3468e7e44f8" /><Relationship Type="http://schemas.openxmlformats.org/officeDocument/2006/relationships/sharedStrings" Target="/xl/sharedStrings.xml" Id="R05f4013c060d423d" /><Relationship Type="http://schemas.openxmlformats.org/officeDocument/2006/relationships/worksheet" Target="/xl/worksheets/sheet1.xml" Id="Rc841f885a8ca47f6" /><Relationship Type="http://schemas.openxmlformats.org/officeDocument/2006/relationships/worksheet" Target="/xl/worksheets/sheet2.xml" Id="Re0c1ea4ea4e14373" /><Relationship Type="http://schemas.openxmlformats.org/officeDocument/2006/relationships/worksheet" Target="/xl/worksheets/sheet3.xml" Id="R164581749f494edb" /><Relationship Type="http://schemas.openxmlformats.org/officeDocument/2006/relationships/worksheet" Target="/xl/worksheets/sheet4.xml" Id="R2b0a20f1373a4c42" /><Relationship Type="http://schemas.openxmlformats.org/officeDocument/2006/relationships/worksheet" Target="/xl/worksheets/sheet5.xml" Id="Rd3f44cf1ab5543f9" /><Relationship Type="http://schemas.openxmlformats.org/officeDocument/2006/relationships/worksheet" Target="/xl/worksheets/sheet6.xml" Id="R56fa3c3ec5d142ca" /><Relationship Type="http://schemas.openxmlformats.org/officeDocument/2006/relationships/worksheet" Target="/xl/worksheets/sheet7.xml" Id="R07a2a25aa5bf47e7" /><Relationship Type="http://schemas.openxmlformats.org/officeDocument/2006/relationships/worksheet" Target="/xl/worksheets/sheet8.xml" Id="Re335955ff00b4956" /><Relationship Type="http://schemas.openxmlformats.org/officeDocument/2006/relationships/worksheet" Target="/xl/worksheets/sheet9.xml" Id="Rc2216dac1cc04672" /><Relationship Type="http://schemas.openxmlformats.org/officeDocument/2006/relationships/worksheet" Target="/xl/worksheets/sheet10.xml" Id="R803434594ccf4e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4" customHeight="1">
      <x:c r="A1" s="11" t="str">
        <x:v>MH370 Pulau Perak Descent/Re-climb Sensitivity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 ht="25" customHeight="1">
      <x:c r="A2" s="13" t="str">
        <x:v>1.2 million-particle 00:11 posterior; refined 0.995-Hz fast-BFO model; no 00:19 RF, drift or Pleiades likelihood.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" t="str">
        <x:v>Central result</x:v>
      </x:c>
      <x:c r="B4" s="2" t="str">
        <x:v>No PP</x:v>
      </x:c>
      <x:c r="C4" s="2" t="str">
        <x:v>PP only</x:v>
      </x:c>
      <x:c r="D4" s="2" t="str">
        <x:v>Full PP branch</x:v>
      </x:c>
    </x:row>
    <x:row r="5">
      <x:c r="A5" s="15" t="str">
        <x:v>Median fuel change vs FL340/M0.84 (t)</x:v>
      </x:c>
      <x:c r="B5" s="16" t="n">
        <x:f>'Scenario Results'!B2</x:f>
        <x:v>0</x:v>
      </x:c>
      <x:c r="C5" s="16" t="n">
        <x:f>'Scenario Results'!B3</x:f>
        <x:v>0.02856429647977432</x:v>
      </x:c>
      <x:c r="D5" s="16" t="n">
        <x:f>'Scenario Results'!B4</x:f>
        <x:v>0.16838107884061904</x:v>
      </x:c>
    </x:row>
    <x:row r="6">
      <x:c r="A6" s="15" t="str">
        <x:v>Median EOF, minutes after 00:11</x:v>
      </x:c>
      <x:c r="B6" s="16" t="n">
        <x:f>'Scenario Results'!E2</x:f>
        <x:v>5.293227675843413</x:v>
      </x:c>
      <x:c r="C6" s="16" t="n">
        <x:f>'Scenario Results'!E3</x:f>
        <x:v>4.835118945137486</x:v>
      </x:c>
      <x:c r="D6" s="16" t="n">
        <x:f>'Scenario Results'!E4</x:f>
        <x:v>3.5329308422650785</x:v>
      </x:c>
    </x:row>
    <x:row r="7">
      <x:c r="A7" s="15" t="str">
        <x:v>P(EOF from 00:11 to 00:19)</x:v>
      </x:c>
      <x:c r="B7" s="17" t="n">
        <x:f>'Scenario Results'!F2</x:f>
        <x:v>0.13884333333333335</x:v>
      </x:c>
      <x:c r="C7" s="17" t="n">
        <x:f>'Scenario Results'!F3</x:f>
        <x:v>0.14456</x:v>
      </x:c>
      <x:c r="D7" s="17" t="n">
        <x:f>'Scenario Results'!F4</x:f>
        <x:v>0.16306</x:v>
      </x:c>
    </x:row>
    <x:row r="8">
      <x:c r="A8" s="15" t="str">
        <x:v>Conditioned median 00:11 latitude (°)</x:v>
      </x:c>
      <x:c r="B8" s="8" t="n">
        <x:f>'Scenario Results'!I2</x:f>
        <x:v>-36.292100753439755</x:v>
      </x:c>
      <x:c r="C8" s="8" t="n">
        <x:f>'Scenario Results'!I3</x:f>
        <x:v>-36.292899207246805</x:v>
      </x:c>
      <x:c r="D8" s="8" t="n">
        <x:f>'Scenario Results'!I4</x:f>
        <x:v>-36.29478721220841</x:v>
      </x:c>
    </x:row>
    <x:row r="9">
      <x:c r="A9" s="15" t="str">
        <x:v>Latitude shift vs same-window no-PP (°)</x:v>
      </x:c>
      <x:c r="B9" s="8" t="n">
        <x:f>'Scenario Results'!J2</x:f>
        <x:v>0</x:v>
      </x:c>
      <x:c r="C9" s="8" t="n">
        <x:f>'Scenario Results'!J3</x:f>
        <x:v>-0.0007984538070502367</x:v>
      </x:c>
      <x:c r="D9" s="8" t="n">
        <x:f>'Scenario Results'!J4</x:f>
        <x:v>-0.0026864587686574737</x:v>
      </x:c>
    </x:row>
    <x:row r="10">
      <x:c r="A10" s="15" t="str">
        <x:v>Conditioned median Mach</x:v>
      </x:c>
      <x:c r="B10" s="8" t="n">
        <x:f>'Scenario Results'!K2</x:f>
        <x:v>0.785995466951863</x:v>
      </x:c>
      <x:c r="C10" s="8" t="n">
        <x:f>'Scenario Results'!K3</x:f>
        <x:v>0.7860324018371933</x:v>
      </x:c>
      <x:c r="D10" s="8" t="n">
        <x:f>'Scenario Results'!K4</x:f>
        <x:v>0.786088090764558</x:v>
      </x:c>
    </x:row>
    <x:row r="13">
      <x:c r="A13" s="18" t="str">
        <x:v>Interpretation</x:v>
      </x:c>
      <x:c r="B13" s="18"/>
      <x:c r="C13" s="18"/>
      <x:c r="D13" s="18"/>
      <x:c r="E13" s="18"/>
      <x:c r="F13" s="18"/>
      <x:c r="G13" s="18"/>
      <x:c r="H13" s="18"/>
      <x:c r="I13" s="18"/>
      <x:c r="J13" s="18"/>
    </x:row>
    <x:row r="14">
      <x:c r="A14" s="21" t="str">
        <x:v>The Pulau Perak branch changes the fuel state much more than the sixth-arc position. In the central model, the descent/re-climb alone has a median fuel cost close to zero because idle descent savings offset re-climb burn. Including an earlier high-altitude climb raises the median cost to about 0.17 t and moves the unchanged-settings exhaustion centre earlier by about 1.7 minutes. Once the 00:11–00:19 exhaustion window is imposed, the 00:11 median latitude changes by only about 0.003°, while the posterior's 95% latitude interval remains about five degrees wide.</x:v>
      </x:c>
      <x:c r="B14" s="21"/>
      <x:c r="C14" s="21"/>
      <x:c r="D14" s="21"/>
      <x:c r="E14" s="21"/>
      <x:c r="F14" s="21"/>
      <x:c r="G14" s="21"/>
      <x:c r="H14" s="21"/>
      <x:c r="I14" s="21"/>
      <x:c r="J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</x:row>
    <x:row r="21">
      <x:c r="A21" s="23" t="str">
        <x:v>How to read the results</x:v>
      </x:c>
      <x:c r="B21" s="23"/>
      <x:c r="C21" s="23"/>
      <x:c r="D21" s="23"/>
      <x:c r="E21" s="23"/>
      <x:c r="F21" s="23"/>
      <x:c r="G21" s="23"/>
      <x:c r="H21" s="23"/>
      <x:c r="I21" s="23"/>
      <x:c r="J21" s="23"/>
    </x:row>
    <x:row r="22">
      <x:c r="A22" s="26" t="str">
        <x:v>The 00:11–00:19 interval is a stress-test condition, not evidence taken from the 00:19 transmission. The 4,800-ft value is likewise a scenario input, not an accepted radar altitude. The main run treats the later radar track as a position/heading constraint. The Distance Anchor Test deliberately carries the PP speed deficit forward instead; even then, the median latitude shift remains below 0.01°. The refined particle checkpoint is absent, so exact upstream radar/Mach/gain/BFO-bias correlations are unavailable.</x:v>
      </x:c>
      <x:c r="B22" s="26"/>
      <x:c r="C22" s="26"/>
      <x:c r="D22" s="26"/>
      <x:c r="E22" s="26"/>
      <x:c r="F22" s="26"/>
      <x:c r="G22" s="26"/>
      <x:c r="H22" s="26"/>
      <x:c r="I22" s="26"/>
      <x:c r="J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</x:row>
  </x:sheetData>
  <x:mergeCells>
    <x:mergeCell ref="A1:J1"/>
    <x:mergeCell ref="A2:J2"/>
    <x:mergeCell ref="A13:J13"/>
    <x:mergeCell ref="A14:J18"/>
    <x:mergeCell ref="A21:J21"/>
    <x:mergeCell ref="A22:J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9.599998474121094" hidden="0" customHeight="1">
      <x:c r="A1" s="4" t="str">
        <x:v>scenario</x:v>
      </x:c>
      <x:c r="B1" s="4" t="str">
        <x:v>median_fuel_change_t</x:v>
      </x:c>
      <x:c r="C1" s="4" t="str">
        <x:v>fuel_change_95_low_t</x:v>
      </x:c>
      <x:c r="D1" s="4" t="str">
        <x:v>fuel_change_95_high_t</x:v>
      </x:c>
      <x:c r="E1" s="4" t="str">
        <x:v>median_unchanged_EOF_minutes_after_0011</x:v>
      </x:c>
      <x:c r="F1" s="4" t="str">
        <x:v>P_unchanged_EOF_in_0011_0019_window</x:v>
      </x:c>
      <x:c r="G1" s="4" t="str">
        <x:v>marginal_window_evidence</x:v>
      </x:c>
      <x:c r="H1" s="4" t="str">
        <x:v>window_BF_vs_no_PP</x:v>
      </x:c>
      <x:c r="I1" s="4" t="str">
        <x:v>conditioned_median_lat_deg</x:v>
      </x:c>
      <x:c r="J1" s="4" t="str">
        <x:v>lat_shift_vs_no_PP_same_window_deg</x:v>
      </x:c>
      <x:c r="K1" s="4" t="str">
        <x:v>conditioned_median_mach</x:v>
      </x:c>
    </x:row>
    <x:row r="2" ht="15" hidden="0" customHeight="1">
      <x:c r="A2" s="5" t="str">
        <x:v>no_pp</x:v>
      </x:c>
      <x:c r="B2" s="7" t="n">
        <x:v>0</x:v>
      </x:c>
      <x:c r="C2" s="7" t="n">
        <x:v>0</x:v>
      </x:c>
      <x:c r="D2" s="7" t="n">
        <x:v>0</x:v>
      </x:c>
      <x:c r="E2" s="7" t="n">
        <x:v>5.293227675843413</x:v>
      </x:c>
      <x:c r="F2" s="7" t="n">
        <x:v>0.13884333333333335</x:v>
      </x:c>
      <x:c r="G2" s="7" t="n">
        <x:v>0.13879686275008007</x:v>
      </x:c>
      <x:c r="H2" s="7" t="n">
        <x:v>1</x:v>
      </x:c>
      <x:c r="I2" s="7" t="n">
        <x:v>-36.292100753439755</x:v>
      </x:c>
      <x:c r="J2" s="7" t="n">
        <x:v>0</x:v>
      </x:c>
      <x:c r="K2" s="7" t="n">
        <x:v>0.785995466951863</x:v>
      </x:c>
      <x:c r="L2" s="8"/>
    </x:row>
    <x:row r="3" ht="15" hidden="0" customHeight="1">
      <x:c r="A3" s="5" t="str">
        <x:v>pp_only</x:v>
      </x:c>
      <x:c r="B3" s="7" t="n">
        <x:v>0.02856429647977432</x:v>
      </x:c>
      <x:c r="C3" s="7" t="n">
        <x:v>-0.33532736058829954</x:v>
      </x:c>
      <x:c r="D3" s="7" t="n">
        <x:v>0.36222798444899074</x:v>
      </x:c>
      <x:c r="E3" s="7" t="n">
        <x:v>4.835118945137486</x:v>
      </x:c>
      <x:c r="F3" s="7" t="n">
        <x:v>0.14456</x:v>
      </x:c>
      <x:c r="G3" s="7" t="n">
        <x:v>0.14444643945484562</x:v>
      </x:c>
      <x:c r="H3" s="7" t="n">
        <x:v>1.0407039222128405</x:v>
      </x:c>
      <x:c r="I3" s="7" t="n">
        <x:v>-36.292899207246805</x:v>
      </x:c>
      <x:c r="J3" s="7" t="n">
        <x:v>-0.0007984538070502367</x:v>
      </x:c>
      <x:c r="K3" s="7" t="n">
        <x:v>0.7860324018371933</x:v>
      </x:c>
      <x:c r="L3" s="8"/>
    </x:row>
    <x:row r="4" ht="15" hidden="0" customHeight="1">
      <x:c r="A4" s="6" t="str">
        <x:v>full_pp</x:v>
      </x:c>
      <x:c r="B4" s="9" t="n">
        <x:v>0.16838107884061904</x:v>
      </x:c>
      <x:c r="C4" s="9" t="n">
        <x:v>-0.25979192021285</x:v>
      </x:c>
      <x:c r="D4" s="9" t="n">
        <x:v>0.5415870642769328</x:v>
      </x:c>
      <x:c r="E4" s="9" t="n">
        <x:v>3.5329308422650785</x:v>
      </x:c>
      <x:c r="F4" s="9" t="n">
        <x:v>0.16306</x:v>
      </x:c>
      <x:c r="G4" s="9" t="n">
        <x:v>0.16358026961642685</x:v>
      </x:c>
      <x:c r="H4" s="9" t="n">
        <x:v>1.1785588404182608</x:v>
      </x:c>
      <x:c r="I4" s="9" t="n">
        <x:v>-36.29478721220841</x:v>
      </x:c>
      <x:c r="J4" s="9" t="n">
        <x:v>-0.0026864587686574737</x:v>
      </x:c>
      <x:c r="K4" s="9" t="n">
        <x:v>0.786088090764558</x:v>
      </x:c>
      <x:c r="L4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 ht="39.599998474121094" hidden="0" customHeight="1">
      <x:c r="A1" s="4" t="str">
        <x:v>posterior</x:v>
      </x:c>
      <x:c r="B1" s="4" t="str">
        <x:v>mode_lat_deg</x:v>
      </x:c>
      <x:c r="C1" s="4" t="str">
        <x:v>mode_lon_deg_E</x:v>
      </x:c>
      <x:c r="D1" s="4" t="str">
        <x:v>median_lat_deg</x:v>
      </x:c>
      <x:c r="E1" s="4" t="str">
        <x:v>lat_95_low_deg</x:v>
      </x:c>
      <x:c r="F1" s="4" t="str">
        <x:v>lat_95_high_deg</x:v>
      </x:c>
      <x:c r="G1" s="4" t="str">
        <x:v>median_lon_deg_E</x:v>
      </x:c>
      <x:c r="H1" s="4" t="str">
        <x:v>lon_95_low_deg_E</x:v>
      </x:c>
      <x:c r="I1" s="4" t="str">
        <x:v>lon_95_high_deg_E</x:v>
      </x:c>
      <x:c r="J1" s="4" t="str">
        <x:v>median_mach</x:v>
      </x:c>
      <x:c r="K1" s="4" t="str">
        <x:v>mach_95_low</x:v>
      </x:c>
      <x:c r="L1" s="4" t="str">
        <x:v>mach_95_high</x:v>
      </x:c>
      <x:c r="M1" s="4" t="str">
        <x:v>median_altitude_ft_at_0011</x:v>
      </x:c>
      <x:c r="N1" s="4" t="str">
        <x:v>altitude_95_low_ft</x:v>
      </x:c>
      <x:c r="O1" s="4" t="str">
        <x:v>altitude_95_high_ft</x:v>
      </x:c>
      <x:c r="P1" s="4" t="str">
        <x:v>P_south_of_36S</x:v>
      </x:c>
      <x:c r="Q1" s="4" t="str">
        <x:v>P_high_altitude_near_level</x:v>
      </x:c>
      <x:c r="R1" s="4" t="str">
        <x:v>P_earlier_descent_completed</x:v>
      </x:c>
      <x:c r="S1" s="4" t="str">
        <x:v>P_active_descent</x:v>
      </x:c>
      <x:c r="T1" s="4" t="str">
        <x:v>ESS</x:v>
      </x:c>
      <x:c r="U1" s="4" t="str">
        <x:v>median_lat_shift_vs_unconditioned_deg</x:v>
      </x:c>
      <x:c r="V1" s="4" t="str">
        <x:v>median_lat_shift_vs_same_EOF_no_PP_deg</x:v>
      </x:c>
    </x:row>
    <x:row r="2" ht="15" hidden="0" customHeight="1">
      <x:c r="A2" s="5" t="str">
        <x:v>Refined 00:11 posterior; no EOF condition</x:v>
      </x:c>
      <x:c r="B2" s="7" t="n">
        <x:v>-36.385714285714286</x:v>
      </x:c>
      <x:c r="C2" s="7" t="n">
        <x:v>89.46875</x:v>
      </x:c>
      <x:c r="D2" s="7" t="n">
        <x:v>-36.29782530587116</x:v>
      </x:c>
      <x:c r="E2" s="7" t="n">
        <x:v>-37.716760060175645</x:v>
      </x:c>
      <x:c r="F2" s="7" t="n">
        <x:v>-32.813735290945665</x:v>
      </x:c>
      <x:c r="G2" s="7" t="n">
        <x:v>89.59605816035912</x:v>
      </x:c>
      <x:c r="H2" s="7" t="n">
        <x:v>87.42470230390438</x:v>
      </x:c>
      <x:c r="I2" s="7" t="n">
        <x:v>94.39118564567268</x:v>
      </x:c>
      <x:c r="J2" s="7" t="n">
        <x:v>0.7860359706918559</x:v>
      </x:c>
      <x:c r="K2" s="7" t="n">
        <x:v>0.750921204441467</x:v>
      </x:c>
      <x:c r="L2" s="7" t="n">
        <x:v>0.8216531370335324</x:v>
      </x:c>
      <x:c r="M2" s="7" t="n">
        <x:v>30598.042511122312</x:v>
      </x:c>
      <x:c r="N2" s="7" t="n">
        <x:v>7659.497818693081</x:v>
      </x:c>
      <x:c r="O2" s="7" t="n">
        <x:v>42385.76743538819</x:v>
      </x:c>
      <x:c r="P2" s="7" t="n">
        <x:v>0.616824646113457</x:v>
      </x:c>
      <x:c r="Q2" s="7" t="n">
        <x:v>0.7247907007417937</x:v>
      </x:c>
      <x:c r="R2" s="7" t="n">
        <x:v>0.27482595353090916</x:v>
      </x:c>
      <x:c r="S2" s="7" t="n">
        <x:v>0.00038334572729708106</x:v>
      </x:c>
      <x:c r="T2" s="7" t="n">
        <x:v>512423.3102134827</x:v>
      </x:c>
      <x:c r="U2" s="7" t="n">
        <x:v>0</x:v>
      </x:c>
      <x:c r="V2" s="7" t="n">
        <x:v>-0.005724552431402685</x:v>
      </x:c>
      <x:c r="W2" s="8"/>
      <x:c r="X2" s="8"/>
    </x:row>
    <x:row r="3" ht="15" hidden="0" customHeight="1">
      <x:c r="A3" s="5" t="str">
        <x:v>EOF 00:11–00:19; no PP excursion</x:v>
      </x:c>
      <x:c r="B3" s="7" t="n">
        <x:v>-36.41428571428571</x:v>
      </x:c>
      <x:c r="C3" s="7" t="n">
        <x:v>89.41041666666666</x:v>
      </x:c>
      <x:c r="D3" s="7" t="n">
        <x:v>-36.292100753439755</x:v>
      </x:c>
      <x:c r="E3" s="7" t="n">
        <x:v>-37.709857516423384</x:v>
      </x:c>
      <x:c r="F3" s="7" t="n">
        <x:v>-32.80474885637609</x:v>
      </x:c>
      <x:c r="G3" s="7" t="n">
        <x:v>89.59101214041293</x:v>
      </x:c>
      <x:c r="H3" s="7" t="n">
        <x:v>87.42201879315216</x:v>
      </x:c>
      <x:c r="I3" s="7" t="n">
        <x:v>94.38558553710492</x:v>
      </x:c>
      <x:c r="J3" s="7" t="n">
        <x:v>0.785995466951863</x:v>
      </x:c>
      <x:c r="K3" s="7" t="n">
        <x:v>0.7521398102575282</x:v>
      </x:c>
      <x:c r="L3" s="7" t="n">
        <x:v>0.8231358024304252</x:v>
      </x:c>
      <x:c r="M3" s="7" t="n">
        <x:v>22470.861974764233</x:v>
      </x:c>
      <x:c r="N3" s="7" t="n">
        <x:v>7161.984519177481</x:v>
      </x:c>
      <x:c r="O3" s="7" t="n">
        <x:v>42595.50399367301</x:v>
      </x:c>
      <x:c r="P3" s="7" t="n">
        <x:v>0.614068289657351</x:v>
      </x:c>
      <x:c r="Q3" s="7" t="n">
        <x:v>0.4825524960449837</x:v>
      </x:c>
      <x:c r="R3" s="7" t="n">
        <x:v>0.517403880464752</x:v>
      </x:c>
      <x:c r="S3" s="7" t="n">
        <x:v>0.00004362349026431932</x:v>
      </x:c>
      <x:c r="T3" s="7" t="n">
        <x:v>197029.3650287796</x:v>
      </x:c>
      <x:c r="U3" s="7" t="n">
        <x:v>0.005724552431402685</x:v>
      </x:c>
      <x:c r="V3" s="7" t="n">
        <x:v>0</x:v>
      </x:c>
      <x:c r="W3" s="8"/>
      <x:c r="X3" s="8"/>
    </x:row>
    <x:row r="4" ht="15" hidden="0" customHeight="1">
      <x:c r="A4" s="5" t="str">
        <x:v>EOF 00:11–00:19; PP descent/re-climb</x:v>
      </x:c>
      <x:c r="B4" s="7" t="n">
        <x:v>-36.41428571428571</x:v>
      </x:c>
      <x:c r="C4" s="7" t="n">
        <x:v>89.41041666666666</x:v>
      </x:c>
      <x:c r="D4" s="7" t="n">
        <x:v>-36.292899207246805</x:v>
      </x:c>
      <x:c r="E4" s="7" t="n">
        <x:v>-37.71084295392803</x:v>
      </x:c>
      <x:c r="F4" s="7" t="n">
        <x:v>-32.80549023223817</x:v>
      </x:c>
      <x:c r="G4" s="7" t="n">
        <x:v>89.59200001141804</x:v>
      </x:c>
      <x:c r="H4" s="7" t="n">
        <x:v>87.42240809534701</x:v>
      </x:c>
      <x:c r="I4" s="7" t="n">
        <x:v>94.38639114808336</x:v>
      </x:c>
      <x:c r="J4" s="7" t="n">
        <x:v>0.7860324018371933</x:v>
      </x:c>
      <x:c r="K4" s="7" t="n">
        <x:v>0.7520771943186553</x:v>
      </x:c>
      <x:c r="L4" s="7" t="n">
        <x:v>0.8227407922967988</x:v>
      </x:c>
      <x:c r="M4" s="7" t="n">
        <x:v>24389.174273024</x:v>
      </x:c>
      <x:c r="N4" s="7" t="n">
        <x:v>7176.112893663957</x:v>
      </x:c>
      <x:c r="O4" s="7" t="n">
        <x:v>42625.32285635924</x:v>
      </x:c>
      <x:c r="P4" s="7" t="n">
        <x:v>0.6144606260936863</x:v>
      </x:c>
      <x:c r="Q4" s="7" t="n">
        <x:v>0.49886727275893666</x:v>
      </x:c>
      <x:c r="R4" s="7" t="n">
        <x:v>0.5010898615017437</x:v>
      </x:c>
      <x:c r="S4" s="7" t="n">
        <x:v>0.00004286573931985707</x:v>
      </x:c>
      <x:c r="T4" s="7" t="n">
        <x:v>214414.094093682</x:v>
      </x:c>
      <x:c r="U4" s="7" t="n">
        <x:v>0.0049260986243524485</x:v>
      </x:c>
      <x:c r="V4" s="7" t="n">
        <x:v>-0.0007984538070502367</x:v>
      </x:c>
      <x:c r="W4" s="8"/>
      <x:c r="X4" s="8"/>
    </x:row>
    <x:row r="5" ht="15" hidden="0" customHeight="1">
      <x:c r="A5" s="6" t="str">
        <x:v>EOF 00:11–00:19; full PP vertical branch</x:v>
      </x:c>
      <x:c r="B5" s="9" t="n">
        <x:v>-36.41428571428571</x:v>
      </x:c>
      <x:c r="C5" s="9" t="n">
        <x:v>89.41041666666666</x:v>
      </x:c>
      <x:c r="D5" s="9" t="n">
        <x:v>-36.29478721220841</x:v>
      </x:c>
      <x:c r="E5" s="9" t="n">
        <x:v>-37.713490060333996</x:v>
      </x:c>
      <x:c r="F5" s="9" t="n">
        <x:v>-32.8091513477115</x:v>
      </x:c>
      <x:c r="G5" s="9" t="n">
        <x:v>89.59353605270186</x:v>
      </x:c>
      <x:c r="H5" s="9" t="n">
        <x:v>87.42401209499764</x:v>
      </x:c>
      <x:c r="I5" s="9" t="n">
        <x:v>94.38754946963107</x:v>
      </x:c>
      <x:c r="J5" s="9" t="n">
        <x:v>0.786088090764558</x:v>
      </x:c>
      <x:c r="K5" s="9" t="n">
        <x:v>0.7519017478631903</x:v>
      </x:c>
      <x:c r="L5" s="9" t="n">
        <x:v>0.8219661533062722</x:v>
      </x:c>
      <x:c r="M5" s="9" t="n">
        <x:v>32404.501770349878</x:v>
      </x:c>
      <x:c r="N5" s="9" t="n">
        <x:v>7189.573860512932</x:v>
      </x:c>
      <x:c r="O5" s="9" t="n">
        <x:v>42685.56659478639</x:v>
      </x:c>
      <x:c r="P5" s="9" t="n">
        <x:v>0.6153394017941602</x:v>
      </x:c>
      <x:c r="Q5" s="9" t="n">
        <x:v>0.5338157144864533</x:v>
      </x:c>
      <x:c r="R5" s="9" t="n">
        <x:v>0.46614288842092577</x:v>
      </x:c>
      <x:c r="S5" s="9" t="n">
        <x:v>0.000041397092620973754</x:v>
      </x:c>
      <x:c r="T5" s="9" t="n">
        <x:v>235677.42725088744</x:v>
      </x:c>
      <x:c r="U5" s="9" t="n">
        <x:v>0.0030380936627452115</x:v>
      </x:c>
      <x:c r="V5" s="9" t="n">
        <x:v>-0.0026864587686574737</x:v>
      </x:c>
      <x:c r="W5" s="8"/>
      <x:c r="X5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8" hidden="0" customWidth="1"/>
  </x:cols>
  <x:sheetData>
    <x:row r="1" ht="26.399999618530273" hidden="0" customHeight="1">
      <x:c r="A1" s="4" t="str">
        <x:v>scenario</x:v>
      </x:c>
      <x:c r="B1" s="4" t="str">
        <x:v>q025_minutes_after_0011</x:v>
      </x:c>
      <x:c r="C1" s="4" t="str">
        <x:v>median_minutes_after_0011</x:v>
      </x:c>
      <x:c r="D1" s="4" t="str">
        <x:v>q975_minutes_after_0011</x:v>
      </x:c>
      <x:c r="E1" s="4" t="str">
        <x:v>P_exhausted_before_0011</x:v>
      </x:c>
      <x:c r="F1" s="4" t="str">
        <x:v>P_exhaustion_0011_to_0019</x:v>
      </x:c>
      <x:c r="G1" s="4" t="str">
        <x:v>P_exhaustion_after_0019</x:v>
      </x:c>
      <x:c r="H1" s="4" t="str">
        <x:v>median_clock_time</x:v>
      </x:c>
    </x:row>
    <x:row r="2" ht="15" hidden="0" customHeight="1">
      <x:c r="A2" s="5" t="str">
        <x:v>no_pp</x:v>
      </x:c>
      <x:c r="B2" s="7" t="n">
        <x:v>-52.12604402427606</x:v>
      </x:c>
      <x:c r="C2" s="7" t="n">
        <x:v>5.293227675843413</x:v>
      </x:c>
      <x:c r="D2" s="7" t="n">
        <x:v>27.28318892379004</x:v>
      </x:c>
      <x:c r="E2" s="7" t="n">
        <x:v>0.41948</x:v>
      </x:c>
      <x:c r="F2" s="7" t="n">
        <x:v>0.13884333333333335</x:v>
      </x:c>
      <x:c r="G2" s="7" t="n">
        <x:v>0.44167666666666666</x:v>
      </x:c>
      <x:c r="H2" s="5" t="str">
        <x:v>2014-03-08 00:16:17.593660548+00:00</x:v>
      </x:c>
    </x:row>
    <x:row r="3" ht="15" hidden="0" customHeight="1">
      <x:c r="A3" s="5" t="str">
        <x:v>pp_only</x:v>
      </x:c>
      <x:c r="B3" s="7" t="n">
        <x:v>-52.46077117808966</x:v>
      </x:c>
      <x:c r="C3" s="7" t="n">
        <x:v>4.835118945137486</x:v>
      </x:c>
      <x:c r="D3" s="7" t="n">
        <x:v>27.507488953410135</x:v>
      </x:c>
      <x:c r="E3" s="7" t="n">
        <x:v>0.42419</x:v>
      </x:c>
      <x:c r="F3" s="7" t="n">
        <x:v>0.14456</x:v>
      </x:c>
      <x:c r="G3" s="7" t="n">
        <x:v>0.43125</x:v>
      </x:c>
      <x:c r="H3" s="5" t="str">
        <x:v>2014-03-08 00:15:50.107136706+00:00</x:v>
      </x:c>
    </x:row>
    <x:row r="4" ht="15" hidden="0" customHeight="1">
      <x:c r="A4" s="6" t="str">
        <x:v>full_pp</x:v>
      </x:c>
      <x:c r="B4" s="9" t="n">
        <x:v>-53.707201846046466</x:v>
      </x:c>
      <x:c r="C4" s="9" t="n">
        <x:v>3.5329308422650785</x:v>
      </x:c>
      <x:c r="D4" s="9" t="n">
        <x:v>25.96528244906131</x:v>
      </x:c>
      <x:c r="E4" s="9" t="n">
        <x:v>0.44129</x:v>
      </x:c>
      <x:c r="F4" s="9" t="n">
        <x:v>0.16306</x:v>
      </x:c>
      <x:c r="G4" s="9" t="n">
        <x:v>0.39565</x:v>
      </x:c>
      <x:c r="H4" s="6" t="str">
        <x:v>2014-03-08 00:14:31.975850538+00:00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3" hidden="0" customWidth="1"/>
    <x:col min="3" max="3" width="1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15" hidden="0" customHeight="1">
      <x:c r="A1" s="4" t="str">
        <x:v>scenario</x:v>
      </x:c>
      <x:c r="B1" s="4" t="str">
        <x:v>variable</x:v>
      </x:c>
      <x:c r="C1" s="4" t="str">
        <x:v>unit</x:v>
      </x:c>
      <x:c r="D1" s="4" t="str">
        <x:v>q025</x:v>
      </x:c>
      <x:c r="E1" s="4" t="str">
        <x:v>q25</x:v>
      </x:c>
      <x:c r="F1" s="4" t="str">
        <x:v>median</x:v>
      </x:c>
      <x:c r="G1" s="4" t="str">
        <x:v>q75</x:v>
      </x:c>
      <x:c r="H1" s="4" t="str">
        <x:v>q975</x:v>
      </x:c>
      <x:c r="I1" s="4" t="str">
        <x:v>mean</x:v>
      </x:c>
    </x:row>
    <x:row r="2" ht="15" hidden="0" customHeight="1">
      <x:c r="A2" s="5" t="str">
        <x:v>pp_only</x:v>
      </x:c>
      <x:c r="B2" s="5" t="str">
        <x:v>delta_fuel_t</x:v>
      </x:c>
      <x:c r="C2" s="5" t="str">
        <x:v>t</x:v>
      </x:c>
      <x:c r="D2" s="7" t="n">
        <x:v>-0.33532736058829954</x:v>
      </x:c>
      <x:c r="E2" s="7" t="n">
        <x:v>-0.09826834741043045</x:v>
      </x:c>
      <x:c r="F2" s="7" t="n">
        <x:v>0.02856429647977432</x:v>
      </x:c>
      <x:c r="G2" s="7" t="n">
        <x:v>0.15140168270020382</x:v>
      </x:c>
      <x:c r="H2" s="7" t="n">
        <x:v>0.36222798444899074</x:v>
      </x:c>
      <x:c r="I2" s="7" t="n">
        <x:v>0.02438593517105592</x:v>
      </x:c>
    </x:row>
    <x:row r="3" ht="15" hidden="0" customHeight="1">
      <x:c r="A3" s="5" t="str">
        <x:v>pp_only</x:v>
      </x:c>
      <x:c r="B3" s="5" t="str">
        <x:v>distance_delta_nm</x:v>
      </x:c>
      <x:c r="C3" s="5" t="str">
        <x:v>NM</x:v>
      </x:c>
      <x:c r="D3" s="7" t="n">
        <x:v>-51.9115989202574</x:v>
      </x:c>
      <x:c r="E3" s="7" t="n">
        <x:v>-45.17334906617887</x:v>
      </x:c>
      <x:c r="F3" s="7" t="n">
        <x:v>-41.639685115801996</x:v>
      </x:c>
      <x:c r="G3" s="7" t="n">
        <x:v>-38.16033845646372</x:v>
      </x:c>
      <x:c r="H3" s="7" t="n">
        <x:v>-31.949768518601875</x:v>
      </x:c>
      <x:c r="I3" s="7" t="n">
        <x:v>-41.70859963618295</x:v>
      </x:c>
    </x:row>
    <x:row r="4" ht="15" hidden="0" customHeight="1">
      <x:c r="A4" s="5" t="str">
        <x:v>pp_only</x:v>
      </x:c>
      <x:c r="B4" s="5" t="str">
        <x:v>equivalent_mean_tas_change_kt</x:v>
      </x:c>
      <x:c r="C4" s="5" t="str">
        <x:v>kt</x:v>
      </x:c>
      <x:c r="D4" s="7" t="n">
        <x:v>-51.06058910189252</x:v>
      </x:c>
      <x:c r="E4" s="7" t="n">
        <x:v>-44.43280236017594</x:v>
      </x:c>
      <x:c r="F4" s="7" t="n">
        <x:v>-40.95706732701836</x:v>
      </x:c>
      <x:c r="G4" s="7" t="n">
        <x:v>-37.5347591375053</x:v>
      </x:c>
      <x:c r="H4" s="7" t="n">
        <x:v>-31.426001821575618</x:v>
      </x:c>
      <x:c r="I4" s="7" t="n">
        <x:v>-41.02485210116357</x:v>
      </x:c>
    </x:row>
    <x:row r="5" ht="15" hidden="0" customHeight="1">
      <x:c r="A5" s="5" t="str">
        <x:v>pp_only</x:v>
      </x:c>
      <x:c r="B5" s="5" t="str">
        <x:v>descent_rate_fpm</x:v>
      </x:c>
      <x:c r="C5" s="5" t="str">
        <x:v>fpm</x:v>
      </x:c>
      <x:c r="D5" s="7" t="n">
        <x:v>-3716.8051483055574</x:v>
      </x:c>
      <x:c r="E5" s="7" t="n">
        <x:v>-3091.78341826625</x:v>
      </x:c>
      <x:c r="F5" s="7" t="n">
        <x:v>-2717.3914841433807</x:v>
      </x:c>
      <x:c r="G5" s="7" t="n">
        <x:v>-2422.158587985845</x:v>
      </x:c>
      <x:c r="H5" s="7" t="n">
        <x:v>-1998.4566093738204</x:v>
      </x:c>
      <x:c r="I5" s="7" t="n">
        <x:v>-2768.2113357421026</x:v>
      </x:c>
    </x:row>
    <x:row r="6" ht="15" hidden="0" customHeight="1">
      <x:c r="A6" s="5" t="str">
        <x:v>pp_only</x:v>
      </x:c>
      <x:c r="B6" s="5" t="str">
        <x:v>reclimb_rate_fpm</x:v>
      </x:c>
      <x:c r="C6" s="5" t="str">
        <x:v>fpm</x:v>
      </x:c>
      <x:c r="D6" s="7" t="n">
        <x:v>1844.295860162933</x:v>
      </x:c>
      <x:c r="E6" s="7" t="n">
        <x:v>2001.8940163981492</x:v>
      </x:c>
      <x:c r="F6" s="7" t="n">
        <x:v>2098.401881003494</x:v>
      </x:c>
      <x:c r="G6" s="7" t="n">
        <x:v>2209.7350468652166</x:v>
      </x:c>
      <x:c r="H6" s="7" t="n">
        <x:v>2440.813247391878</x:v>
      </x:c>
      <x:c r="I6" s="7" t="n">
        <x:v>2111.442756987664</x:v>
      </x:c>
    </x:row>
    <x:row r="7" ht="15" hidden="0" customHeight="1">
      <x:c r="A7" s="5" t="str">
        <x:v>pp_only</x:v>
      </x:c>
      <x:c r="B7" s="5" t="str">
        <x:v>low_level_dwell_minutes</x:v>
      </x:c>
      <x:c r="C7" s="5" t="str">
        <x:v>min</x:v>
      </x:c>
      <x:c r="D7" s="7" t="n">
        <x:v>0.24827140748963103</x:v>
      </x:c>
      <x:c r="E7" s="7" t="n">
        <x:v>0.774892270295775</x:v>
      </x:c>
      <x:c r="F7" s="7" t="n">
        <x:v>1.181640067496291</x:v>
      </x:c>
      <x:c r="G7" s="7" t="n">
        <x:v>1.7156805231099306</x:v>
      </x:c>
      <x:c r="H7" s="7" t="n">
        <x:v>2.5936235547399074</x:v>
      </x:c>
      <x:c r="I7" s="7" t="n">
        <x:v>1.26630542684149</x:v>
      </x:c>
    </x:row>
    <x:row r="8" ht="15" hidden="0" customHeight="1">
      <x:c r="A8" s="5" t="str">
        <x:v>pp_only</x:v>
      </x:c>
      <x:c r="B8" s="5" t="str">
        <x:v>low_level_kias</x:v>
      </x:c>
      <x:c r="C8" s="5" t="str">
        <x:v>KIAS</x:v>
      </x:c>
      <x:c r="D8" s="7" t="n">
        <x:v>263.6477187657951</x:v>
      </x:c>
      <x:c r="E8" s="7" t="n">
        <x:v>282.4206914963599</x:v>
      </x:c>
      <x:c r="F8" s="7" t="n">
        <x:v>293.7323266194368</x:v>
      </x:c>
      <x:c r="G8" s="7" t="n">
        <x:v>304.3781755024667</x:v>
      </x:c>
      <x:c r="H8" s="7" t="n">
        <x:v>321.9320537284796</x:v>
      </x:c>
      <x:c r="I8" s="7" t="n">
        <x:v>293.344310264465</x:v>
      </x:c>
    </x:row>
    <x:row r="9" ht="15" hidden="0" customHeight="1">
      <x:c r="A9" s="5" t="str">
        <x:v>full_pp</x:v>
      </x:c>
      <x:c r="B9" s="5" t="str">
        <x:v>delta_fuel_t</x:v>
      </x:c>
      <x:c r="C9" s="5" t="str">
        <x:v>t</x:v>
      </x:c>
      <x:c r="D9" s="7" t="n">
        <x:v>-0.25979192021285</x:v>
      </x:c>
      <x:c r="E9" s="7" t="n">
        <x:v>0.018826200229062118</x:v>
      </x:c>
      <x:c r="F9" s="7" t="n">
        <x:v>0.16838107884061904</x:v>
      </x:c>
      <x:c r="G9" s="7" t="n">
        <x:v>0.3099680297209998</x:v>
      </x:c>
      <x:c r="H9" s="7" t="n">
        <x:v>0.5415870642769328</x:v>
      </x:c>
      <x:c r="I9" s="7" t="n">
        <x:v>0.16076209806010858</x:v>
      </x:c>
    </x:row>
    <x:row r="10" ht="15" hidden="0" customHeight="1">
      <x:c r="A10" s="5" t="str">
        <x:v>full_pp</x:v>
      </x:c>
      <x:c r="B10" s="5" t="str">
        <x:v>distance_delta_nm</x:v>
      </x:c>
      <x:c r="C10" s="5" t="str">
        <x:v>NM</x:v>
      </x:c>
      <x:c r="D10" s="7" t="n">
        <x:v>-50.9966756328832</x:v>
      </x:c>
      <x:c r="E10" s="7" t="n">
        <x:v>-44.306432502773134</x:v>
      </x:c>
      <x:c r="F10" s="7" t="n">
        <x:v>-40.710012399851024</x:v>
      </x:c>
      <x:c r="G10" s="7" t="n">
        <x:v>-37.189950538380955</x:v>
      </x:c>
      <x:c r="H10" s="7" t="n">
        <x:v>-30.88412876292537</x:v>
      </x:c>
      <x:c r="I10" s="7" t="n">
        <x:v>-40.78191822294473</x:v>
      </x:c>
    </x:row>
    <x:row r="11" ht="15" hidden="0" customHeight="1">
      <x:c r="A11" s="5" t="str">
        <x:v>full_pp</x:v>
      </x:c>
      <x:c r="B11" s="5" t="str">
        <x:v>equivalent_mean_tas_change_kt</x:v>
      </x:c>
      <x:c r="C11" s="5" t="str">
        <x:v>kt</x:v>
      </x:c>
      <x:c r="D11" s="7" t="n">
        <x:v>-50.1606645569343</x:v>
      </x:c>
      <x:c r="E11" s="7" t="n">
        <x:v>-43.58009754371128</x:v>
      </x:c>
      <x:c r="F11" s="7" t="n">
        <x:v>-40.04263514739445</x:v>
      </x:c>
      <x:c r="G11" s="7" t="n">
        <x:v>-36.580279218079625</x:v>
      </x:c>
      <x:c r="H11" s="7" t="n">
        <x:v>-30.37783157009053</x:v>
      </x:c>
      <x:c r="I11" s="7" t="n">
        <x:v>-40.11336218650301</x:v>
      </x:c>
    </x:row>
    <x:row r="12" ht="15" hidden="0" customHeight="1">
      <x:c r="A12" s="5" t="str">
        <x:v>full_pp</x:v>
      </x:c>
      <x:c r="B12" s="5" t="str">
        <x:v>descent_rate_fpm</x:v>
      </x:c>
      <x:c r="C12" s="5" t="str">
        <x:v>fpm</x:v>
      </x:c>
      <x:c r="D12" s="7" t="n">
        <x:v>-3710.509691078672</x:v>
      </x:c>
      <x:c r="E12" s="7" t="n">
        <x:v>-3090.7612251338883</x:v>
      </x:c>
      <x:c r="F12" s="7" t="n">
        <x:v>-2716.204925938401</x:v>
      </x:c>
      <x:c r="G12" s="7" t="n">
        <x:v>-2420.8727669147956</x:v>
      </x:c>
      <x:c r="H12" s="7" t="n">
        <x:v>-1996.1011198318413</x:v>
      </x:c>
      <x:c r="I12" s="7" t="n">
        <x:v>-2766.463631527963</x:v>
      </x:c>
    </x:row>
    <x:row r="13" ht="15" hidden="0" customHeight="1">
      <x:c r="A13" s="5" t="str">
        <x:v>full_pp</x:v>
      </x:c>
      <x:c r="B13" s="5" t="str">
        <x:v>reclimb_rate_fpm</x:v>
      </x:c>
      <x:c r="C13" s="5" t="str">
        <x:v>fpm</x:v>
      </x:c>
      <x:c r="D13" s="7" t="n">
        <x:v>1844.6165330611036</x:v>
      </x:c>
      <x:c r="E13" s="7" t="n">
        <x:v>2001.7239012653072</x:v>
      </x:c>
      <x:c r="F13" s="7" t="n">
        <x:v>2098.258728394225</x:v>
      </x:c>
      <x:c r="G13" s="7" t="n">
        <x:v>2209.499566930632</x:v>
      </x:c>
      <x:c r="H13" s="7" t="n">
        <x:v>2438.3919010513873</x:v>
      </x:c>
      <x:c r="I13" s="7" t="n">
        <x:v>2111.10980300148</x:v>
      </x:c>
    </x:row>
    <x:row r="14" ht="15" hidden="0" customHeight="1">
      <x:c r="A14" s="5" t="str">
        <x:v>full_pp</x:v>
      </x:c>
      <x:c r="B14" s="5" t="str">
        <x:v>low_level_dwell_minutes</x:v>
      </x:c>
      <x:c r="C14" s="5" t="str">
        <x:v>min</x:v>
      </x:c>
      <x:c r="D14" s="7" t="n">
        <x:v>0.24451643017990357</x:v>
      </x:c>
      <x:c r="E14" s="7" t="n">
        <x:v>0.7742415009792605</x:v>
      </x:c>
      <x:c r="F14" s="7" t="n">
        <x:v>1.1825527625939347</x:v>
      </x:c>
      <x:c r="G14" s="7" t="n">
        <x:v>1.7138769574502828</x:v>
      </x:c>
      <x:c r="H14" s="7" t="n">
        <x:v>2.5937398272872922</x:v>
      </x:c>
      <x:c r="I14" s="7" t="n">
        <x:v>1.2655049493514494</x:v>
      </x:c>
    </x:row>
    <x:row r="15" ht="15" hidden="0" customHeight="1">
      <x:c r="A15" s="6" t="str">
        <x:v>full_pp</x:v>
      </x:c>
      <x:c r="B15" s="6" t="str">
        <x:v>low_level_kias</x:v>
      </x:c>
      <x:c r="C15" s="6" t="str">
        <x:v>KIAS</x:v>
      </x:c>
      <x:c r="D15" s="9" t="n">
        <x:v>263.79661774109917</x:v>
      </x:c>
      <x:c r="E15" s="9" t="n">
        <x:v>282.40767071594166</x:v>
      </x:c>
      <x:c r="F15" s="9" t="n">
        <x:v>293.75529763552277</x:v>
      </x:c>
      <x:c r="G15" s="9" t="n">
        <x:v>304.3916725122254</x:v>
      </x:c>
      <x:c r="H15" s="9" t="n">
        <x:v>321.9535190973258</x:v>
      </x:c>
      <x:c r="I15" s="9" t="n">
        <x:v>293.37215540194353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29" hidden="0" customWidth="1"/>
    <x:col min="7" max="7" width="17" hidden="0" customWidth="1"/>
  </x:cols>
  <x:sheetData>
    <x:row r="1" ht="39.599998474121094" hidden="0" customHeight="1">
      <x:c r="A1" s="4" t="str">
        <x:v>scenario</x:v>
      </x:c>
      <x:c r="B1" s="4" t="str">
        <x:v>PP_fuel_change_quantile</x:v>
      </x:c>
      <x:c r="C1" s="4" t="str">
        <x:v>fuel_change_t</x:v>
      </x:c>
      <x:c r="D1" s="4" t="str">
        <x:v>average_post_1822_FF_change_needed_tph</x:v>
      </x:c>
      <x:c r="E1" s="4" t="str">
        <x:v>average_post_1822_FF_change_needed_kgph</x:v>
      </x:c>
      <x:c r="F1" s="4" t="str">
        <x:v>equivalent_packs_off_hours</x:v>
      </x:c>
      <x:c r="G1" s="4" t="str">
        <x:v>fraction_of_full_post_1822_packs_off_saving</x:v>
      </x:c>
    </x:row>
    <x:row r="2" ht="15" hidden="0" customHeight="1">
      <x:c r="A2" s="5" t="str">
        <x:v>pp_only</x:v>
      </x:c>
      <x:c r="B2" s="5" t="str">
        <x:v>2.5th percentile</x:v>
      </x:c>
      <x:c r="C2" s="7" t="n">
        <x:v>-0.33532736058829954</x:v>
      </x:c>
      <x:c r="D2" s="7" t="n">
        <x:v>-0.057679702714791836</x:v>
      </x:c>
      <x:c r="E2" s="7" t="n">
        <x:v>-57.67970271479184</x:v>
      </x:c>
      <x:c r="F2" s="7" t="n">
        <x:v>-1.9161563462188547</x:v>
      </x:c>
      <x:c r="G2" s="7" t="n">
        <x:v>-0.3295983012273819</x:v>
      </x:c>
    </x:row>
    <x:row r="3" ht="15" hidden="0" customHeight="1">
      <x:c r="A3" s="5" t="str">
        <x:v>pp_only</x:v>
      </x:c>
      <x:c r="B3" s="5" t="str">
        <x:v>median</x:v>
      </x:c>
      <x:c r="C3" s="7" t="n">
        <x:v>0.02856429647977432</x:v>
      </x:c>
      <x:c r="D3" s="7" t="n">
        <x:v>0.004913348336145423</x:v>
      </x:c>
      <x:c r="E3" s="7" t="n">
        <x:v>4.913348336145423</x:v>
      </x:c>
      <x:c r="F3" s="7" t="n">
        <x:v>0.16322455131299612</x:v>
      </x:c>
      <x:c r="G3" s="7" t="n">
        <x:v>0.02807627620654527</x:v>
      </x:c>
    </x:row>
    <x:row r="4" ht="15" hidden="0" customHeight="1">
      <x:c r="A4" s="5" t="str">
        <x:v>pp_only</x:v>
      </x:c>
      <x:c r="B4" s="5" t="str">
        <x:v>97.5th percentile</x:v>
      </x:c>
      <x:c r="C4" s="7" t="n">
        <x:v>0.36222798444899074</x:v>
      </x:c>
      <x:c r="D4" s="7" t="n">
        <x:v>0.06230688250830745</x:v>
      </x:c>
      <x:c r="E4" s="7" t="n">
        <x:v>62.30688250830745</x:v>
      </x:c>
      <x:c r="F4" s="7" t="n">
        <x:v>2.0698741968513756</x:v>
      </x:c>
      <x:c r="G4" s="7" t="n">
        <x:v>0.3560393286188997</x:v>
      </x:c>
    </x:row>
    <x:row r="5" ht="15" hidden="0" customHeight="1">
      <x:c r="A5" s="5" t="str">
        <x:v>full_pp</x:v>
      </x:c>
      <x:c r="B5" s="5" t="str">
        <x:v>2.5th percentile</x:v>
      </x:c>
      <x:c r="C5" s="7" t="n">
        <x:v>-0.25979192021285</x:v>
      </x:c>
      <x:c r="D5" s="7" t="n">
        <x:v>-0.04468684183507382</x:v>
      </x:c>
      <x:c r="E5" s="7" t="n">
        <x:v>-44.68684183507382</x:v>
      </x:c>
      <x:c r="F5" s="7" t="n">
        <x:v>-1.484525258359143</x:v>
      </x:c>
      <x:c r="G5" s="7" t="n">
        <x:v>-0.2553533819147076</x:v>
      </x:c>
    </x:row>
    <x:row r="6" ht="15" hidden="0" customHeight="1">
      <x:c r="A6" s="5" t="str">
        <x:v>full_pp</x:v>
      </x:c>
      <x:c r="B6" s="5" t="str">
        <x:v>median</x:v>
      </x:c>
      <x:c r="C6" s="7" t="n">
        <x:v>0.16838107884061904</x:v>
      </x:c>
      <x:c r="D6" s="7" t="n">
        <x:v>0.028963251174266735</x:v>
      </x:c>
      <x:c r="E6" s="7" t="n">
        <x:v>28.963251174266734</x:v>
      </x:c>
      <x:c r="F6" s="7" t="n">
        <x:v>0.962177593374966</x:v>
      </x:c>
      <x:c r="G6" s="7" t="n">
        <x:v>0.16550429242438133</x:v>
      </x:c>
    </x:row>
    <x:row r="7" ht="15" hidden="0" customHeight="1">
      <x:c r="A7" s="6" t="str">
        <x:v>full_pp</x:v>
      </x:c>
      <x:c r="B7" s="6" t="str">
        <x:v>97.5th percentile</x:v>
      </x:c>
      <x:c r="C7" s="9" t="n">
        <x:v>0.5415870642769328</x:v>
      </x:c>
      <x:c r="D7" s="9" t="n">
        <x:v>0.0931584610538945</x:v>
      </x:c>
      <x:c r="E7" s="9" t="n">
        <x:v>93.1584610538945</x:v>
      </x:c>
      <x:c r="F7" s="9" t="n">
        <x:v>3.0947832244396163</x:v>
      </x:c>
      <x:c r="G7" s="9" t="n">
        <x:v>0.5323340631651114</x:v>
      </x:c>
    </x:row>
    <x:row r="10" ht="34" customHeight="1">
      <x:c r="A10" s="3" t="str">
        <x:v>scenario</x:v>
      </x:c>
      <x:c r="B10" s="3" t="str">
        <x:v>PP_fuel_change_quantile</x:v>
      </x:c>
      <x:c r="C10" s="3" t="str">
        <x:v>fuel_change_t</x:v>
      </x:c>
      <x:c r="D10" s="3" t="str">
        <x:v>assumed_final_two_engine_FF_tph</x:v>
      </x:c>
      <x:c r="E10" s="3" t="str">
        <x:v>EOF_shift_minutes_if_all_else_fixed</x:v>
      </x:c>
      <x:c r="F10" s="3" t="str">
        <x:v>clock_time_from_001730_reference</x:v>
      </x:c>
    </x:row>
    <x:row r="11">
      <x:c r="A11" t="str">
        <x:v>pp_only</x:v>
      </x:c>
      <x:c r="B11" t="str">
        <x:v>2.5th percentile</x:v>
      </x:c>
      <x:c r="C11" s="8" t="n">
        <x:v>-0.33532736058829954</x:v>
      </x:c>
      <x:c r="D11" s="8" t="n">
        <x:v>5.5</x:v>
      </x:c>
      <x:c r="E11" s="8" t="n">
        <x:v>3.658116660963268</x:v>
      </x:c>
      <x:c r="F11" t="str">
        <x:v>2014-03-08 00:21:09.486999660+00:00</x:v>
      </x:c>
    </x:row>
    <x:row r="12">
      <x:c r="A12" t="str">
        <x:v>pp_only</x:v>
      </x:c>
      <x:c r="B12" t="str">
        <x:v>2.5th percentile</x:v>
      </x:c>
      <x:c r="C12" s="8" t="n">
        <x:v>-0.33532736058829954</x:v>
      </x:c>
      <x:c r="D12" s="8" t="n">
        <x:v>6</x:v>
      </x:c>
      <x:c r="E12" s="8" t="n">
        <x:v>3.3532736058829955</x:v>
      </x:c>
      <x:c r="F12" t="str">
        <x:v>2014-03-08 00:20:51.196416354+00:00</x:v>
      </x:c>
    </x:row>
    <x:row r="13">
      <x:c r="A13" t="str">
        <x:v>pp_only</x:v>
      </x:c>
      <x:c r="B13" t="str">
        <x:v>2.5th percentile</x:v>
      </x:c>
      <x:c r="C13" s="8" t="n">
        <x:v>-0.33532736058829954</x:v>
      </x:c>
      <x:c r="D13" s="8" t="n">
        <x:v>6.5</x:v>
      </x:c>
      <x:c r="E13" s="8" t="n">
        <x:v>3.0953294823535344</x:v>
      </x:c>
      <x:c r="F13" t="str">
        <x:v>2014-03-08 00:20:35.719768944+00:00</x:v>
      </x:c>
    </x:row>
    <x:row r="14">
      <x:c r="A14" t="str">
        <x:v>pp_only</x:v>
      </x:c>
      <x:c r="B14" t="str">
        <x:v>median</x:v>
      </x:c>
      <x:c r="C14" s="8" t="n">
        <x:v>0.02856429647977432</x:v>
      </x:c>
      <x:c r="D14" s="8" t="n">
        <x:v>5.5</x:v>
      </x:c>
      <x:c r="E14" s="8" t="n">
        <x:v>-0.3116105070520835</x:v>
      </x:c>
      <x:c r="F14" t="str">
        <x:v>2014-03-08 00:17:11.303369574+00:00</x:v>
      </x:c>
    </x:row>
    <x:row r="15">
      <x:c r="A15" t="str">
        <x:v>pp_only</x:v>
      </x:c>
      <x:c r="B15" t="str">
        <x:v>median</x:v>
      </x:c>
      <x:c r="C15" s="8" t="n">
        <x:v>0.02856429647977432</x:v>
      </x:c>
      <x:c r="D15" s="8" t="n">
        <x:v>6</x:v>
      </x:c>
      <x:c r="E15" s="8" t="n">
        <x:v>-0.2856429647977432</x:v>
      </x:c>
      <x:c r="F15" t="str">
        <x:v>2014-03-08 00:17:12.861422112+00:00</x:v>
      </x:c>
    </x:row>
    <x:row r="16">
      <x:c r="A16" t="str">
        <x:v>pp_only</x:v>
      </x:c>
      <x:c r="B16" t="str">
        <x:v>median</x:v>
      </x:c>
      <x:c r="C16" s="8" t="n">
        <x:v>0.02856429647977432</x:v>
      </x:c>
      <x:c r="D16" s="8" t="n">
        <x:v>6.5</x:v>
      </x:c>
      <x:c r="E16" s="8" t="n">
        <x:v>-0.2636704290440706</x:v>
      </x:c>
      <x:c r="F16" t="str">
        <x:v>2014-03-08 00:17:14.179774261+00:00</x:v>
      </x:c>
    </x:row>
    <x:row r="17">
      <x:c r="A17" t="str">
        <x:v>pp_only</x:v>
      </x:c>
      <x:c r="B17" t="str">
        <x:v>97.5th percentile</x:v>
      </x:c>
      <x:c r="C17" s="8" t="n">
        <x:v>0.36222798444899074</x:v>
      </x:c>
      <x:c r="D17" s="8" t="n">
        <x:v>5.5</x:v>
      </x:c>
      <x:c r="E17" s="8" t="n">
        <x:v>-3.951578012170808</x:v>
      </x:c>
      <x:c r="F17" t="str">
        <x:v>2014-03-08 00:13:32.905319268+00:00</x:v>
      </x:c>
    </x:row>
    <x:row r="18">
      <x:c r="A18" t="str">
        <x:v>pp_only</x:v>
      </x:c>
      <x:c r="B18" t="str">
        <x:v>97.5th percentile</x:v>
      </x:c>
      <x:c r="C18" s="8" t="n">
        <x:v>0.36222798444899074</x:v>
      </x:c>
      <x:c r="D18" s="8" t="n">
        <x:v>6</x:v>
      </x:c>
      <x:c r="E18" s="8" t="n">
        <x:v>-3.622279844489907</x:v>
      </x:c>
      <x:c r="F18" t="str">
        <x:v>2014-03-08 00:13:52.663209330+00:00</x:v>
      </x:c>
    </x:row>
    <x:row r="19">
      <x:c r="A19" t="str">
        <x:v>pp_only</x:v>
      </x:c>
      <x:c r="B19" t="str">
        <x:v>97.5th percentile</x:v>
      </x:c>
      <x:c r="C19" s="8" t="n">
        <x:v>0.36222798444899074</x:v>
      </x:c>
      <x:c r="D19" s="8" t="n">
        <x:v>6.5</x:v>
      </x:c>
      <x:c r="E19" s="8" t="n">
        <x:v>-3.3436429333752993</x:v>
      </x:c>
      <x:c r="F19" t="str">
        <x:v>2014-03-08 00:14:09.381423996+00:00</x:v>
      </x:c>
    </x:row>
    <x:row r="20">
      <x:c r="A20" t="str">
        <x:v>full_pp</x:v>
      </x:c>
      <x:c r="B20" t="str">
        <x:v>2.5th percentile</x:v>
      </x:c>
      <x:c r="C20" s="8" t="n">
        <x:v>-0.25979192021285</x:v>
      </x:c>
      <x:c r="D20" s="8" t="n">
        <x:v>5.5</x:v>
      </x:c>
      <x:c r="E20" s="8" t="n">
        <x:v>2.834093675049273</x:v>
      </x:c>
      <x:c r="F20" t="str">
        <x:v>2014-03-08 00:20:20.045620500+00:00</x:v>
      </x:c>
    </x:row>
    <x:row r="21">
      <x:c r="A21" t="str">
        <x:v>full_pp</x:v>
      </x:c>
      <x:c r="B21" t="str">
        <x:v>2.5th percentile</x:v>
      </x:c>
      <x:c r="C21" s="8" t="n">
        <x:v>-0.25979192021285</x:v>
      </x:c>
      <x:c r="D21" s="8" t="n">
        <x:v>6</x:v>
      </x:c>
      <x:c r="E21" s="8" t="n">
        <x:v>2.5979192021285002</x:v>
      </x:c>
      <x:c r="F21" t="str">
        <x:v>2014-03-08 00:20:05.875152126+00:00</x:v>
      </x:c>
    </x:row>
    <x:row r="22">
      <x:c r="A22" t="str">
        <x:v>full_pp</x:v>
      </x:c>
      <x:c r="B22" t="str">
        <x:v>2.5th percentile</x:v>
      </x:c>
      <x:c r="C22" s="8" t="n">
        <x:v>-0.25979192021285</x:v>
      </x:c>
      <x:c r="D22" s="8" t="n">
        <x:v>6.5</x:v>
      </x:c>
      <x:c r="E22" s="8" t="n">
        <x:v>2.398079263503231</x:v>
      </x:c>
      <x:c r="F22" t="str">
        <x:v>2014-03-08 00:19:53.884755810+00:00</x:v>
      </x:c>
    </x:row>
    <x:row r="23">
      <x:c r="A23" t="str">
        <x:v>full_pp</x:v>
      </x:c>
      <x:c r="B23" t="str">
        <x:v>median</x:v>
      </x:c>
      <x:c r="C23" s="8" t="n">
        <x:v>0.16838107884061904</x:v>
      </x:c>
      <x:c r="D23" s="8" t="n">
        <x:v>5.5</x:v>
      </x:c>
      <x:c r="E23" s="8" t="n">
        <x:v>-1.8368844964431168</x:v>
      </x:c>
      <x:c r="F23" t="str">
        <x:v>2014-03-08 00:15:39.786930216+00:00</x:v>
      </x:c>
    </x:row>
    <x:row r="24">
      <x:c r="A24" t="str">
        <x:v>full_pp</x:v>
      </x:c>
      <x:c r="B24" t="str">
        <x:v>median</x:v>
      </x:c>
      <x:c r="C24" s="8" t="n">
        <x:v>0.16838107884061904</x:v>
      </x:c>
      <x:c r="D24" s="8" t="n">
        <x:v>6</x:v>
      </x:c>
      <x:c r="E24" s="8" t="n">
        <x:v>-1.6838107884061904</x:v>
      </x:c>
      <x:c r="F24" t="str">
        <x:v>2014-03-08 00:15:48.971352696+00:00</x:v>
      </x:c>
    </x:row>
    <x:row r="25">
      <x:c r="A25" t="str">
        <x:v>full_pp</x:v>
      </x:c>
      <x:c r="B25" t="str">
        <x:v>median</x:v>
      </x:c>
      <x:c r="C25" s="8" t="n">
        <x:v>0.16838107884061904</x:v>
      </x:c>
      <x:c r="D25" s="8" t="n">
        <x:v>6.5</x:v>
      </x:c>
      <x:c r="E25" s="8" t="n">
        <x:v>-1.5542868816057143</x:v>
      </x:c>
      <x:c r="F25" t="str">
        <x:v>2014-03-08 00:15:56.742787105+00:00</x:v>
      </x:c>
    </x:row>
    <x:row r="26">
      <x:c r="A26" t="str">
        <x:v>full_pp</x:v>
      </x:c>
      <x:c r="B26" t="str">
        <x:v>97.5th percentile</x:v>
      </x:c>
      <x:c r="C26" s="8" t="n">
        <x:v>0.5415870642769328</x:v>
      </x:c>
      <x:c r="D26" s="8" t="n">
        <x:v>5.5</x:v>
      </x:c>
      <x:c r="E26" s="8" t="n">
        <x:v>-5.908222519384721</x:v>
      </x:c>
      <x:c r="F26" t="str">
        <x:v>2014-03-08 00:11:35.506648836+00:00</x:v>
      </x:c>
    </x:row>
    <x:row r="27">
      <x:c r="A27" t="str">
        <x:v>full_pp</x:v>
      </x:c>
      <x:c r="B27" t="str">
        <x:v>97.5th percentile</x:v>
      </x:c>
      <x:c r="C27" s="8" t="n">
        <x:v>0.5415870642769328</x:v>
      </x:c>
      <x:c r="D27" s="8" t="n">
        <x:v>6</x:v>
      </x:c>
      <x:c r="E27" s="8" t="n">
        <x:v>-5.415870642769328</x:v>
      </x:c>
      <x:c r="F27" t="str">
        <x:v>2014-03-08 00:12:05.047761432+00:00</x:v>
      </x:c>
    </x:row>
    <x:row r="28">
      <x:c r="A28" t="str">
        <x:v>full_pp</x:v>
      </x:c>
      <x:c r="B28" t="str">
        <x:v>97.5th percentile</x:v>
      </x:c>
      <x:c r="C28" s="8" t="n">
        <x:v>0.5415870642769328</x:v>
      </x:c>
      <x:c r="D28" s="8" t="n">
        <x:v>6.5</x:v>
      </x:c>
      <x:c r="E28" s="8" t="n">
        <x:v>-4.999265208710149</x:v>
      </x:c>
      <x:c r="F28" t="str">
        <x:v>2014-03-08 00:12:30.044087478+00:00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6.399999618530273" hidden="0" customHeight="1">
      <x:c r="A1" s="4" t="str">
        <x:v>scenario</x:v>
      </x:c>
      <x:c r="B1" s="4" t="str">
        <x:v>climb_FF_response_per_1000fpm</x:v>
      </x:c>
      <x:c r="C1" s="4" t="str">
        <x:v>fuel_at_1822_SD_t</x:v>
      </x:c>
      <x:c r="D1" s="4" t="str">
        <x:v>median_PP_fuel_change_t</x:v>
      </x:c>
      <x:c r="E1" s="4" t="str">
        <x:v>q025_PP_fuel_change_t</x:v>
      </x:c>
      <x:c r="F1" s="4" t="str">
        <x:v>q975_PP_fuel_change_t</x:v>
      </x:c>
      <x:c r="G1" s="4" t="str">
        <x:v>median_lat_deg</x:v>
      </x:c>
      <x:c r="H1" s="4" t="str">
        <x:v>lat_95_low_deg</x:v>
      </x:c>
      <x:c r="I1" s="4" t="str">
        <x:v>lat_95_high_deg</x:v>
      </x:c>
      <x:c r="J1" s="4" t="str">
        <x:v>median_lat_shift_vs_no_PP_EOF_deg</x:v>
      </x:c>
    </x:row>
    <x:row r="2" ht="15" hidden="0" customHeight="1">
      <x:c r="A2" s="5" t="str">
        <x:v>pp_only</x:v>
      </x:c>
      <x:c r="B2" s="7" t="n">
        <x:v>0.2</x:v>
      </x:c>
      <x:c r="C2" s="7" t="n">
        <x:v>0.25</x:v>
      </x:c>
      <x:c r="D2" s="7" t="n">
        <x:v>-0.4507715869072859</x:v>
      </x:c>
      <x:c r="E2" s="7" t="n">
        <x:v>-0.8003236869774922</x:v>
      </x:c>
      <x:c r="F2" s="7" t="n">
        <x:v>-0.14211292729444625</x:v>
      </x:c>
      <x:c r="G2" s="7" t="n">
        <x:v>-36.28399919931508</x:v>
      </x:c>
      <x:c r="H2" s="7" t="n">
        <x:v>-37.70313066614111</x:v>
      </x:c>
      <x:c r="I2" s="7" t="n">
        <x:v>-32.79383840680268</x:v>
      </x:c>
      <x:c r="J2" s="7" t="n">
        <x:v>0.008101554124671395</x:v>
      </x:c>
    </x:row>
    <x:row r="3" ht="15" hidden="0" customHeight="1">
      <x:c r="A3" s="5" t="str">
        <x:v>pp_only</x:v>
      </x:c>
      <x:c r="B3" s="7" t="n">
        <x:v>0.2</x:v>
      </x:c>
      <x:c r="C3" s="7" t="n">
        <x:v>0.45</x:v>
      </x:c>
      <x:c r="D3" s="7" t="n">
        <x:v>-0.4507715869072859</x:v>
      </x:c>
      <x:c r="E3" s="7" t="n">
        <x:v>-0.8003236869774922</x:v>
      </x:c>
      <x:c r="F3" s="7" t="n">
        <x:v>-0.14211292729444625</x:v>
      </x:c>
      <x:c r="G3" s="7" t="n">
        <x:v>-36.28716404937083</x:v>
      </x:c>
      <x:c r="H3" s="7" t="n">
        <x:v>-37.70392260256019</x:v>
      </x:c>
      <x:c r="I3" s="7" t="n">
        <x:v>-32.79918865140366</x:v>
      </x:c>
      <x:c r="J3" s="7" t="n">
        <x:v>0.004936704068924769</x:v>
      </x:c>
    </x:row>
    <x:row r="4" ht="15" hidden="0" customHeight="1">
      <x:c r="A4" s="5" t="str">
        <x:v>pp_only</x:v>
      </x:c>
      <x:c r="B4" s="7" t="n">
        <x:v>0.2</x:v>
      </x:c>
      <x:c r="C4" s="7" t="n">
        <x:v>0.75</x:v>
      </x:c>
      <x:c r="D4" s="7" t="n">
        <x:v>-0.4507715869072859</x:v>
      </x:c>
      <x:c r="E4" s="7" t="n">
        <x:v>-0.8003236869774922</x:v>
      </x:c>
      <x:c r="F4" s="7" t="n">
        <x:v>-0.14211292729444625</x:v>
      </x:c>
      <x:c r="G4" s="7" t="n">
        <x:v>-36.29142177028878</x:v>
      </x:c>
      <x:c r="H4" s="7" t="n">
        <x:v>-37.70865185057343</x:v>
      </x:c>
      <x:c r="I4" s="7" t="n">
        <x:v>-32.80551982284595</x:v>
      </x:c>
      <x:c r="J4" s="7" t="n">
        <x:v>0.0006789831509763644</x:v>
      </x:c>
    </x:row>
    <x:row r="5" ht="15" hidden="0" customHeight="1">
      <x:c r="A5" s="5" t="str">
        <x:v>full_pp</x:v>
      </x:c>
      <x:c r="B5" s="7" t="n">
        <x:v>0.2</x:v>
      </x:c>
      <x:c r="C5" s="7" t="n">
        <x:v>0.25</x:v>
      </x:c>
      <x:c r="D5" s="7" t="n">
        <x:v>-0.3090053376771842</x:v>
      </x:c>
      <x:c r="E5" s="7" t="n">
        <x:v>-0.7249120942109603</x:v>
      </x:c>
      <x:c r="F5" s="7" t="n">
        <x:v>0.04120667458360795</x:v>
      </x:c>
      <x:c r="G5" s="7" t="n">
        <x:v>-36.28466376765995</x:v>
      </x:c>
      <x:c r="H5" s="7" t="n">
        <x:v>-37.70248968285949</x:v>
      </x:c>
      <x:c r="I5" s="7" t="n">
        <x:v>-32.79249782336675</x:v>
      </x:c>
      <x:c r="J5" s="7" t="n">
        <x:v>0.007436985779804672</x:v>
      </x:c>
    </x:row>
    <x:row r="6" ht="15" hidden="0" customHeight="1">
      <x:c r="A6" s="5" t="str">
        <x:v>full_pp</x:v>
      </x:c>
      <x:c r="B6" s="7" t="n">
        <x:v>0.2</x:v>
      </x:c>
      <x:c r="C6" s="7" t="n">
        <x:v>0.45</x:v>
      </x:c>
      <x:c r="D6" s="7" t="n">
        <x:v>-0.3090053376771842</x:v>
      </x:c>
      <x:c r="E6" s="7" t="n">
        <x:v>-0.7249120942109603</x:v>
      </x:c>
      <x:c r="F6" s="7" t="n">
        <x:v>0.04120667458360795</x:v>
      </x:c>
      <x:c r="G6" s="7" t="n">
        <x:v>-36.28869997216287</x:v>
      </x:c>
      <x:c r="H6" s="7" t="n">
        <x:v>-37.70573229778646</x:v>
      </x:c>
      <x:c r="I6" s="7" t="n">
        <x:v>-32.79968699880155</x:v>
      </x:c>
      <x:c r="J6" s="7" t="n">
        <x:v>0.003400781276887699</x:v>
      </x:c>
    </x:row>
    <x:row r="7" ht="15" hidden="0" customHeight="1">
      <x:c r="A7" s="5" t="str">
        <x:v>full_pp</x:v>
      </x:c>
      <x:c r="B7" s="7" t="n">
        <x:v>0.2</x:v>
      </x:c>
      <x:c r="C7" s="7" t="n">
        <x:v>0.75</x:v>
      </x:c>
      <x:c r="D7" s="7" t="n">
        <x:v>-0.3090053376771842</x:v>
      </x:c>
      <x:c r="E7" s="7" t="n">
        <x:v>-0.7249120942109603</x:v>
      </x:c>
      <x:c r="F7" s="7" t="n">
        <x:v>0.04120667458360795</x:v>
      </x:c>
      <x:c r="G7" s="7" t="n">
        <x:v>-36.29234151129649</x:v>
      </x:c>
      <x:c r="H7" s="7" t="n">
        <x:v>-37.709956147309526</x:v>
      </x:c>
      <x:c r="I7" s="7" t="n">
        <x:v>-32.80659391747656</x:v>
      </x:c>
      <x:c r="J7" s="7" t="n">
        <x:v>-0.00024075785673716155</x:v>
      </x:c>
    </x:row>
    <x:row r="8" ht="15" hidden="0" customHeight="1">
      <x:c r="A8" s="5" t="str">
        <x:v>pp_only</x:v>
      </x:c>
      <x:c r="B8" s="7" t="n">
        <x:v>0.37</x:v>
      </x:c>
      <x:c r="C8" s="7" t="n">
        <x:v>0.25</x:v>
      </x:c>
      <x:c r="D8" s="7" t="n">
        <x:v>0.027992471649040507</x:v>
      </x:c>
      <x:c r="E8" s="7" t="n">
        <x:v>-0.3361991024963197</x:v>
      </x:c>
      <x:c r="F8" s="7" t="n">
        <x:v>0.3611303654549635</x:v>
      </x:c>
      <x:c r="G8" s="7" t="n">
        <x:v>-36.289802164750036</x:v>
      </x:c>
      <x:c r="H8" s="7" t="n">
        <x:v>-37.70606666647279</x:v>
      </x:c>
      <x:c r="I8" s="7" t="n">
        <x:v>-32.80135057927563</x:v>
      </x:c>
      <x:c r="J8" s="7" t="n">
        <x:v>0.0022985886897188834</x:v>
      </x:c>
    </x:row>
    <x:row r="9" ht="15" hidden="0" customHeight="1">
      <x:c r="A9" s="5" t="str">
        <x:v>pp_only</x:v>
      </x:c>
      <x:c r="B9" s="7" t="n">
        <x:v>0.37</x:v>
      </x:c>
      <x:c r="C9" s="7" t="n">
        <x:v>0.45</x:v>
      </x:c>
      <x:c r="D9" s="7" t="n">
        <x:v>0.027992471649040507</x:v>
      </x:c>
      <x:c r="E9" s="7" t="n">
        <x:v>-0.3361991024963197</x:v>
      </x:c>
      <x:c r="F9" s="7" t="n">
        <x:v>0.3611303654549635</x:v>
      </x:c>
      <x:c r="G9" s="7" t="n">
        <x:v>-36.292898936008704</x:v>
      </x:c>
      <x:c r="H9" s="7" t="n">
        <x:v>-37.71078852813766</x:v>
      </x:c>
      <x:c r="I9" s="7" t="n">
        <x:v>-32.805482891179714</x:v>
      </x:c>
      <x:c r="J9" s="7" t="n">
        <x:v>-0.0007981825689498123</x:v>
      </x:c>
    </x:row>
    <x:row r="10" ht="15" hidden="0" customHeight="1">
      <x:c r="A10" s="5" t="str">
        <x:v>pp_only</x:v>
      </x:c>
      <x:c r="B10" s="7" t="n">
        <x:v>0.37</x:v>
      </x:c>
      <x:c r="C10" s="7" t="n">
        <x:v>0.75</x:v>
      </x:c>
      <x:c r="D10" s="7" t="n">
        <x:v>0.027992471649040507</x:v>
      </x:c>
      <x:c r="E10" s="7" t="n">
        <x:v>-0.3361991024963197</x:v>
      </x:c>
      <x:c r="F10" s="7" t="n">
        <x:v>0.3611303654549635</x:v>
      </x:c>
      <x:c r="G10" s="7" t="n">
        <x:v>-36.29442184890487</x:v>
      </x:c>
      <x:c r="H10" s="7" t="n">
        <x:v>-37.71312422271639</x:v>
      </x:c>
      <x:c r="I10" s="7" t="n">
        <x:v>-32.80870551166354</x:v>
      </x:c>
      <x:c r="J10" s="7" t="n">
        <x:v>-0.0023210954651133875</x:v>
      </x:c>
    </x:row>
    <x:row r="11" ht="15" hidden="0" customHeight="1">
      <x:c r="A11" s="5" t="str">
        <x:v>full_pp</x:v>
      </x:c>
      <x:c r="B11" s="7" t="n">
        <x:v>0.37</x:v>
      </x:c>
      <x:c r="C11" s="7" t="n">
        <x:v>0.25</x:v>
      </x:c>
      <x:c r="D11" s="7" t="n">
        <x:v>0.16766138313938067</x:v>
      </x:c>
      <x:c r="E11" s="7" t="n">
        <x:v>-0.26015571774907975</x:v>
      </x:c>
      <x:c r="F11" s="7" t="n">
        <x:v>0.5421501149476445</x:v>
      </x:c>
      <x:c r="G11" s="7" t="n">
        <x:v>-36.293419191654905</x:v>
      </x:c>
      <x:c r="H11" s="7" t="n">
        <x:v>-37.710538005652964</x:v>
      </x:c>
      <x:c r="I11" s="7" t="n">
        <x:v>-32.80672717239694</x:v>
      </x:c>
      <x:c r="J11" s="7" t="n">
        <x:v>-0.0013184382151507634</x:v>
      </x:c>
    </x:row>
    <x:row r="12" ht="15" hidden="0" customHeight="1">
      <x:c r="A12" s="5" t="str">
        <x:v>full_pp</x:v>
      </x:c>
      <x:c r="B12" s="7" t="n">
        <x:v>0.37</x:v>
      </x:c>
      <x:c r="C12" s="7" t="n">
        <x:v>0.45</x:v>
      </x:c>
      <x:c r="D12" s="7" t="n">
        <x:v>0.16766138313938067</x:v>
      </x:c>
      <x:c r="E12" s="7" t="n">
        <x:v>-0.26015571774907975</x:v>
      </x:c>
      <x:c r="F12" s="7" t="n">
        <x:v>0.5421501149476445</x:v>
      </x:c>
      <x:c r="G12" s="7" t="n">
        <x:v>-36.29478719862725</x:v>
      </x:c>
      <x:c r="H12" s="7" t="n">
        <x:v>-37.713491294088726</x:v>
      </x:c>
      <x:c r="I12" s="7" t="n">
        <x:v>-32.80915018796298</x:v>
      </x:c>
      <x:c r="J12" s="7" t="n">
        <x:v>-0.0026864451874928363</x:v>
      </x:c>
    </x:row>
    <x:row r="13" ht="15" hidden="0" customHeight="1">
      <x:c r="A13" s="5" t="str">
        <x:v>full_pp</x:v>
      </x:c>
      <x:c r="B13" s="7" t="n">
        <x:v>0.37</x:v>
      </x:c>
      <x:c r="C13" s="7" t="n">
        <x:v>0.75</x:v>
      </x:c>
      <x:c r="D13" s="7" t="n">
        <x:v>0.16766138313938067</x:v>
      </x:c>
      <x:c r="E13" s="7" t="n">
        <x:v>-0.26015571774907975</x:v>
      </x:c>
      <x:c r="F13" s="7" t="n">
        <x:v>0.5421501149476445</x:v>
      </x:c>
      <x:c r="G13" s="7" t="n">
        <x:v>-36.29529369422359</x:v>
      </x:c>
      <x:c r="H13" s="7" t="n">
        <x:v>-37.71446182424554</x:v>
      </x:c>
      <x:c r="I13" s="7" t="n">
        <x:v>-32.809259183569</x:v>
      </x:c>
      <x:c r="J13" s="7" t="n">
        <x:v>-0.0031929407838333645</x:v>
      </x:c>
    </x:row>
    <x:row r="14" ht="15" hidden="0" customHeight="1">
      <x:c r="A14" s="5" t="str">
        <x:v>pp_only</x:v>
      </x:c>
      <x:c r="B14" s="7" t="n">
        <x:v>0.5</x:v>
      </x:c>
      <x:c r="C14" s="7" t="n">
        <x:v>0.25</x:v>
      </x:c>
      <x:c r="D14" s="7" t="n">
        <x:v>0.39285465984884516</x:v>
      </x:c>
      <x:c r="E14" s="7" t="n">
        <x:v>0.012357501458361434</x:v>
      </x:c>
      <x:c r="F14" s="7" t="n">
        <x:v>0.7502010967974287</x:v>
      </x:c>
      <x:c r="G14" s="7" t="n">
        <x:v>-36.29813078539752</x:v>
      </x:c>
      <x:c r="H14" s="7" t="n">
        <x:v>-37.71675982508917</x:v>
      </x:c>
      <x:c r="I14" s="7" t="n">
        <x:v>-32.81494675296898</x:v>
      </x:c>
      <x:c r="J14" s="7" t="n">
        <x:v>-0.006030031957763526</x:v>
      </x:c>
    </x:row>
    <x:row r="15" ht="15" hidden="0" customHeight="1">
      <x:c r="A15" s="5" t="str">
        <x:v>pp_only</x:v>
      </x:c>
      <x:c r="B15" s="7" t="n">
        <x:v>0.5</x:v>
      </x:c>
      <x:c r="C15" s="7" t="n">
        <x:v>0.45</x:v>
      </x:c>
      <x:c r="D15" s="7" t="n">
        <x:v>0.39285465984884516</x:v>
      </x:c>
      <x:c r="E15" s="7" t="n">
        <x:v>0.012357501458361434</x:v>
      </x:c>
      <x:c r="F15" s="7" t="n">
        <x:v>0.7502010967974287</x:v>
      </x:c>
      <x:c r="G15" s="7" t="n">
        <x:v>-36.297255893735375</x:v>
      </x:c>
      <x:c r="H15" s="7" t="n">
        <x:v>-37.716629415847684</x:v>
      </x:c>
      <x:c r="I15" s="7" t="n">
        <x:v>-32.811448653103604</x:v>
      </x:c>
      <x:c r="J15" s="7" t="n">
        <x:v>-0.005155140295620697</x:v>
      </x:c>
    </x:row>
    <x:row r="16" ht="15" hidden="0" customHeight="1">
      <x:c r="A16" s="5" t="str">
        <x:v>pp_only</x:v>
      </x:c>
      <x:c r="B16" s="7" t="n">
        <x:v>0.5</x:v>
      </x:c>
      <x:c r="C16" s="7" t="n">
        <x:v>0.75</x:v>
      </x:c>
      <x:c r="D16" s="7" t="n">
        <x:v>0.39285465984884516</x:v>
      </x:c>
      <x:c r="E16" s="7" t="n">
        <x:v>0.012357501458361434</x:v>
      </x:c>
      <x:c r="F16" s="7" t="n">
        <x:v>0.7502010967974287</x:v>
      </x:c>
      <x:c r="G16" s="7" t="n">
        <x:v>-36.2964094390851</x:v>
      </x:c>
      <x:c r="H16" s="7" t="n">
        <x:v>-37.71588654604386</x:v>
      </x:c>
      <x:c r="I16" s="7" t="n">
        <x:v>-32.809772333821336</x:v>
      </x:c>
      <x:c r="J16" s="7" t="n">
        <x:v>-0.004308685645348476</x:v>
      </x:c>
    </x:row>
    <x:row r="17" ht="15" hidden="0" customHeight="1">
      <x:c r="A17" s="5" t="str">
        <x:v>full_pp</x:v>
      </x:c>
      <x:c r="B17" s="7" t="n">
        <x:v>0.5</x:v>
      </x:c>
      <x:c r="C17" s="7" t="n">
        <x:v>0.25</x:v>
      </x:c>
      <x:c r="D17" s="7" t="n">
        <x:v>0.5334115848252718</x:v>
      </x:c>
      <x:c r="E17" s="7" t="n">
        <x:v>0.09075962365870048</x:v>
      </x:c>
      <x:c r="F17" s="7" t="n">
        <x:v>0.9282457863261057</x:v>
      </x:c>
      <x:c r="G17" s="7" t="n">
        <x:v>-36.29963430495612</x:v>
      </x:c>
      <x:c r="H17" s="7" t="n">
        <x:v>-37.719610017704774</x:v>
      </x:c>
      <x:c r="I17" s="7" t="n">
        <x:v>-32.8165685813086</x:v>
      </x:c>
      <x:c r="J17" s="7" t="n">
        <x:v>-0.007533551516367254</x:v>
      </x:c>
    </x:row>
    <x:row r="18" ht="15" hidden="0" customHeight="1">
      <x:c r="A18" s="5" t="str">
        <x:v>full_pp</x:v>
      </x:c>
      <x:c r="B18" s="7" t="n">
        <x:v>0.5</x:v>
      </x:c>
      <x:c r="C18" s="7" t="n">
        <x:v>0.45</x:v>
      </x:c>
      <x:c r="D18" s="7" t="n">
        <x:v>0.5334115848252718</x:v>
      </x:c>
      <x:c r="E18" s="7" t="n">
        <x:v>0.09075962365870048</x:v>
      </x:c>
      <x:c r="F18" s="7" t="n">
        <x:v>0.9282457863261057</x:v>
      </x:c>
      <x:c r="G18" s="7" t="n">
        <x:v>-36.298317466955226</x:v>
      </x:c>
      <x:c r="H18" s="7" t="n">
        <x:v>-37.718091870232655</x:v>
      </x:c>
      <x:c r="I18" s="7" t="n">
        <x:v>-32.811951484298035</x:v>
      </x:c>
      <x:c r="J18" s="7" t="n">
        <x:v>-0.0062167135154709285</x:v>
      </x:c>
    </x:row>
    <x:row r="19" ht="15" hidden="0" customHeight="1">
      <x:c r="A19" s="6" t="str">
        <x:v>full_pp</x:v>
      </x:c>
      <x:c r="B19" s="9" t="n">
        <x:v>0.5</x:v>
      </x:c>
      <x:c r="C19" s="9" t="n">
        <x:v>0.75</x:v>
      </x:c>
      <x:c r="D19" s="9" t="n">
        <x:v>0.5334115848252718</x:v>
      </x:c>
      <x:c r="E19" s="9" t="n">
        <x:v>0.09075962365870048</x:v>
      </x:c>
      <x:c r="F19" s="9" t="n">
        <x:v>0.9282457863261057</x:v>
      </x:c>
      <x:c r="G19" s="9" t="n">
        <x:v>-36.2971351951542</x:v>
      </x:c>
      <x:c r="H19" s="9" t="n">
        <x:v>-37.7167483581477</x:v>
      </x:c>
      <x:c r="I19" s="9" t="n">
        <x:v>-32.81028985188596</x:v>
      </x:c>
      <x:c r="J19" s="9" t="n">
        <x:v>-0.005034441714443005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9.599998474121094" hidden="0" customHeight="1">
      <x:c r="A1" s="4" t="str">
        <x:v>scenario</x:v>
      </x:c>
      <x:c r="B1" s="4" t="str">
        <x:v>conditioning</x:v>
      </x:c>
      <x:c r="C1" s="4" t="str">
        <x:v>median_carried_distance_loss_nm</x:v>
      </x:c>
      <x:c r="D1" s="4" t="str">
        <x:v>distance_loss_95_low_nm</x:v>
      </x:c>
      <x:c r="E1" s="4" t="str">
        <x:v>distance_loss_95_high_nm</x:v>
      </x:c>
      <x:c r="F1" s="4" t="str">
        <x:v>median_lat_deg</x:v>
      </x:c>
      <x:c r="G1" s="4" t="str">
        <x:v>lat_95_low_deg</x:v>
      </x:c>
      <x:c r="H1" s="4" t="str">
        <x:v>lat_95_high_deg</x:v>
      </x:c>
      <x:c r="I1" s="4" t="str">
        <x:v>median_lat_shift_vs_unconditioned_baseline_deg</x:v>
      </x:c>
      <x:c r="J1" s="4" t="str">
        <x:v>median_mach</x:v>
      </x:c>
      <x:c r="K1" s="4" t="str">
        <x:v>mach_95_low</x:v>
      </x:c>
      <x:c r="L1" s="4" t="str">
        <x:v>mach_95_high</x:v>
      </x:c>
      <x:c r="M1" s="4" t="str">
        <x:v>mean_distance_feasibility_ratio</x:v>
      </x:c>
    </x:row>
    <x:row r="2" ht="15" hidden="0" customHeight="1">
      <x:c r="A2" s="5" t="str">
        <x:v>pp_only</x:v>
      </x:c>
      <x:c r="B2" s="5" t="str">
        <x:v>no EOF condition</x:v>
      </x:c>
      <x:c r="C2" s="7" t="n">
        <x:v>41.639685115801996</x:v>
      </x:c>
      <x:c r="D2" s="7" t="n">
        <x:v>31.949768518601875</x:v>
      </x:c>
      <x:c r="E2" s="7" t="n">
        <x:v>51.91159892025739</x:v>
      </x:c>
      <x:c r="F2" s="7" t="n">
        <x:v>-36.295929643902184</x:v>
      </x:c>
      <x:c r="G2" s="7" t="n">
        <x:v>-37.71376696437245</x:v>
      </x:c>
      <x:c r="H2" s="7" t="n">
        <x:v>-32.80976850491707</x:v>
      </x:c>
      <x:c r="I2" s="7" t="n">
        <x:v>0.0018956619689731724</x:v>
      </x:c>
      <x:c r="J2" s="7" t="n">
        <x:v>0.7823580219017245</x:v>
      </x:c>
      <x:c r="K2" s="7" t="n">
        <x:v>0.7488656118699966</x:v>
      </x:c>
      <x:c r="L2" s="7" t="n">
        <x:v>0.8164697751933451</x:v>
      </x:c>
      <x:c r="M2" s="7" t="n">
        <x:v>0.7451482052067216</x:v>
      </x:c>
    </x:row>
    <x:row r="3" ht="15" hidden="0" customHeight="1">
      <x:c r="A3" s="5" t="str">
        <x:v>pp_only</x:v>
      </x:c>
      <x:c r="B3" s="5" t="str">
        <x:v>EOF 00:11--00:19</x:v>
      </x:c>
      <x:c r="C3" s="7" t="n">
        <x:v>41.639685115801996</x:v>
      </x:c>
      <x:c r="D3" s="7" t="n">
        <x:v>31.949768518601875</x:v>
      </x:c>
      <x:c r="E3" s="7" t="n">
        <x:v>51.91159892025739</x:v>
      </x:c>
      <x:c r="F3" s="7" t="n">
        <x:v>-36.29050364106904</x:v>
      </x:c>
      <x:c r="G3" s="7" t="n">
        <x:v>-37.70756405658637</x:v>
      </x:c>
      <x:c r="H3" s="7" t="n">
        <x:v>-32.80256589814635</x:v>
      </x:c>
      <x:c r="I3" s="7" t="n">
        <x:v>0.007321664802120154</x:v>
      </x:c>
      <x:c r="J3" s="7" t="n">
        <x:v>0.7823531626138391</x:v>
      </x:c>
      <x:c r="K3" s="7" t="n">
        <x:v>0.750142966890568</x:v>
      </x:c>
      <x:c r="L3" s="7" t="n">
        <x:v>0.8170411735779471</x:v>
      </x:c>
      <x:c r="M3" s="7" t="n">
        <x:v>0.7451482052067216</x:v>
      </x:c>
    </x:row>
    <x:row r="4" ht="15" hidden="0" customHeight="1">
      <x:c r="A4" s="5" t="str">
        <x:v>full_pp</x:v>
      </x:c>
      <x:c r="B4" s="5" t="str">
        <x:v>no EOF condition</x:v>
      </x:c>
      <x:c r="C4" s="7" t="n">
        <x:v>40.710012399851024</x:v>
      </x:c>
      <x:c r="D4" s="7" t="n">
        <x:v>30.88412876292537</x:v>
      </x:c>
      <x:c r="E4" s="7" t="n">
        <x:v>50.9966756328832</x:v>
      </x:c>
      <x:c r="F4" s="7" t="n">
        <x:v>-36.29597521216608</x:v>
      </x:c>
      <x:c r="G4" s="7" t="n">
        <x:v>-37.713902350212294</x:v>
      </x:c>
      <x:c r="H4" s="7" t="n">
        <x:v>-32.80982055472577</x:v>
      </x:c>
      <x:c r="I4" s="7" t="n">
        <x:v>0.001850093705080269</x:v>
      </x:c>
      <x:c r="J4" s="7" t="n">
        <x:v>0.7824432050315754</x:v>
      </x:c>
      <x:c r="K4" s="7" t="n">
        <x:v>0.7489242993193513</x:v>
      </x:c>
      <x:c r="L4" s="7" t="n">
        <x:v>0.8165989052982732</x:v>
      </x:c>
      <x:c r="M4" s="7" t="n">
        <x:v>0.7508798753447121</x:v>
      </x:c>
    </x:row>
    <x:row r="5" ht="15" hidden="0" customHeight="1">
      <x:c r="A5" s="6" t="str">
        <x:v>full_pp</x:v>
      </x:c>
      <x:c r="B5" s="6" t="str">
        <x:v>EOF 00:11--00:19</x:v>
      </x:c>
      <x:c r="C5" s="9" t="n">
        <x:v>40.710012399851024</x:v>
      </x:c>
      <x:c r="D5" s="9" t="n">
        <x:v>30.88412876292537</x:v>
      </x:c>
      <x:c r="E5" s="9" t="n">
        <x:v>50.9966756328832</x:v>
      </x:c>
      <x:c r="F5" s="9" t="n">
        <x:v>-36.29244811919383</x:v>
      </x:c>
      <x:c r="G5" s="9" t="n">
        <x:v>-37.70991590053224</x:v>
      </x:c>
      <x:c r="H5" s="9" t="n">
        <x:v>-32.80527138119852</x:v>
      </x:c>
      <x:c r="I5" s="9" t="n">
        <x:v>0.0053771866773288934</x:v>
      </x:c>
      <x:c r="J5" s="9" t="n">
        <x:v>0.7824818168782466</x:v>
      </x:c>
      <x:c r="K5" s="9" t="n">
        <x:v>0.7500220211455138</x:v>
      </x:c>
      <x:c r="L5" s="9" t="n">
        <x:v>0.8168265219030126</x:v>
      </x:c>
      <x:c r="M5" s="9" t="n">
        <x:v>0.7508798753447121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2" hidden="0" customWidth="1"/>
    <x:col min="4" max="4" width="24" hidden="0" customWidth="1"/>
  </x:cols>
  <x:sheetData>
    <x:row r="1" ht="15" hidden="0" customHeight="1">
      <x:c r="A1" s="4" t="str">
        <x:v>aircraft_mass_t</x:v>
      </x:c>
      <x:c r="B1" s="4" t="str">
        <x:v>flight_level</x:v>
      </x:c>
      <x:c r="C1" s="4" t="str">
        <x:v>mach</x:v>
      </x:c>
      <x:c r="D1" s="4" t="str">
        <x:v>two_engine_fuel_flow_tph</x:v>
      </x:c>
    </x:row>
    <x:row r="2" ht="15" hidden="0" customHeight="1">
      <x:c r="A2" s="5" t="n">
        <x:v>210</x:v>
      </x:c>
      <x:c r="B2" s="5" t="n">
        <x:v>290</x:v>
      </x:c>
      <x:c r="C2" s="5" t="n">
        <x:v>0.76</x:v>
      </x:c>
      <x:c r="D2" s="7" t="n">
        <x:v>6.63439086419753</x:v>
      </x:c>
    </x:row>
    <x:row r="3" ht="15" hidden="0" customHeight="1">
      <x:c r="A3" s="5" t="n">
        <x:v>210</x:v>
      </x:c>
      <x:c r="B3" s="5" t="n">
        <x:v>290</x:v>
      </x:c>
      <x:c r="C3" s="5" t="n">
        <x:v>0.79</x:v>
      </x:c>
      <x:c r="D3" s="7" t="n">
        <x:v>7.010316790123457</x:v>
      </x:c>
    </x:row>
    <x:row r="4" ht="15" hidden="0" customHeight="1">
      <x:c r="A4" s="5" t="n">
        <x:v>210</x:v>
      </x:c>
      <x:c r="B4" s="5" t="n">
        <x:v>290</x:v>
      </x:c>
      <x:c r="C4" s="5" t="n">
        <x:v>0.82</x:v>
      </x:c>
      <x:c r="D4" s="7" t="n">
        <x:v>7.386242716049382</x:v>
      </x:c>
    </x:row>
    <x:row r="5" ht="15" hidden="0" customHeight="1">
      <x:c r="A5" s="5" t="n">
        <x:v>210</x:v>
      </x:c>
      <x:c r="B5" s="5" t="n">
        <x:v>290</x:v>
      </x:c>
      <x:c r="C5" s="5" t="n">
        <x:v>0.84</x:v>
      </x:c>
      <x:c r="D5" s="7" t="n">
        <x:v>7.6368599999999995</x:v>
      </x:c>
    </x:row>
    <x:row r="6" ht="15" hidden="0" customHeight="1">
      <x:c r="A6" s="5" t="n">
        <x:v>210</x:v>
      </x:c>
      <x:c r="B6" s="5" t="n">
        <x:v>310</x:v>
      </x:c>
      <x:c r="C6" s="5" t="n">
        <x:v>0.76</x:v>
      </x:c>
      <x:c r="D6" s="7" t="n">
        <x:v>6.36026808347797</x:v>
      </x:c>
    </x:row>
    <x:row r="7" ht="15" hidden="0" customHeight="1">
      <x:c r="A7" s="5" t="n">
        <x:v>210</x:v>
      </x:c>
      <x:c r="B7" s="5" t="n">
        <x:v>310</x:v>
      </x:c>
      <x:c r="C7" s="5" t="n">
        <x:v>0.79</x:v>
      </x:c>
      <x:c r="D7" s="7" t="n">
        <x:v>6.678624814814814</x:v>
      </x:c>
    </x:row>
    <x:row r="8" ht="15" hidden="0" customHeight="1">
      <x:c r="A8" s="5" t="n">
        <x:v>210</x:v>
      </x:c>
      <x:c r="B8" s="5" t="n">
        <x:v>310</x:v>
      </x:c>
      <x:c r="C8" s="5" t="n">
        <x:v>0.82</x:v>
      </x:c>
      <x:c r="D8" s="7" t="n">
        <x:v>7.119585925925924</x:v>
      </x:c>
    </x:row>
    <x:row r="9" ht="15" hidden="0" customHeight="1">
      <x:c r="A9" s="5" t="n">
        <x:v>210</x:v>
      </x:c>
      <x:c r="B9" s="5" t="n">
        <x:v>310</x:v>
      </x:c>
      <x:c r="C9" s="5" t="n">
        <x:v>0.84</x:v>
      </x:c>
      <x:c r="D9" s="7" t="n">
        <x:v>7.4135599999999995</x:v>
      </x:c>
    </x:row>
    <x:row r="10" ht="15" hidden="0" customHeight="1">
      <x:c r="A10" s="5" t="n">
        <x:v>210</x:v>
      </x:c>
      <x:c r="B10" s="5" t="n">
        <x:v>350</x:v>
      </x:c>
      <x:c r="C10" s="5" t="n">
        <x:v>0.76</x:v>
      </x:c>
      <x:c r="D10" s="7" t="n">
        <x:v>6.051333333333332</x:v>
      </x:c>
    </x:row>
    <x:row r="11" ht="15" hidden="0" customHeight="1">
      <x:c r="A11" s="5" t="n">
        <x:v>210</x:v>
      </x:c>
      <x:c r="B11" s="5" t="n">
        <x:v>350</x:v>
      </x:c>
      <x:c r="C11" s="5" t="n">
        <x:v>0.79</x:v>
      </x:c>
      <x:c r="D11" s="7" t="n">
        <x:v>6.187387843340329</x:v>
      </x:c>
    </x:row>
    <x:row r="12" ht="15" hidden="0" customHeight="1">
      <x:c r="A12" s="5" t="n">
        <x:v>210</x:v>
      </x:c>
      <x:c r="B12" s="5" t="n">
        <x:v>350</x:v>
      </x:c>
      <x:c r="C12" s="5" t="n">
        <x:v>0.82</x:v>
      </x:c>
      <x:c r="D12" s="7" t="n">
        <x:v>6.418331067702111</x:v>
      </x:c>
    </x:row>
    <x:row r="13" ht="15" hidden="0" customHeight="1">
      <x:c r="A13" s="5" t="n">
        <x:v>210</x:v>
      </x:c>
      <x:c r="B13" s="5" t="n">
        <x:v>350</x:v>
      </x:c>
      <x:c r="C13" s="5" t="n">
        <x:v>0.84</x:v>
      </x:c>
      <x:c r="D13" s="7" t="n">
        <x:v>6.652309999999999</x:v>
      </x:c>
    </x:row>
    <x:row r="14" ht="15" hidden="0" customHeight="1">
      <x:c r="A14" s="5" t="n">
        <x:v>210</x:v>
      </x:c>
      <x:c r="B14" s="5" t="n">
        <x:v>390</x:v>
      </x:c>
      <x:c r="C14" s="5" t="n">
        <x:v>0.76</x:v>
      </x:c>
      <x:c r="D14" s="7" t="n">
        <x:v>6.407066666666665</x:v>
      </x:c>
    </x:row>
    <x:row r="15" ht="15" hidden="0" customHeight="1">
      <x:c r="A15" s="5" t="n">
        <x:v>210</x:v>
      </x:c>
      <x:c r="B15" s="5" t="n">
        <x:v>390</x:v>
      </x:c>
      <x:c r="C15" s="5" t="n">
        <x:v>0.79</x:v>
      </x:c>
      <x:c r="D15" s="7" t="n">
        <x:v>6.407066666666665</x:v>
      </x:c>
    </x:row>
    <x:row r="16" ht="15" hidden="0" customHeight="1">
      <x:c r="A16" s="5" t="n">
        <x:v>210</x:v>
      </x:c>
      <x:c r="B16" s="5" t="n">
        <x:v>390</x:v>
      </x:c>
      <x:c r="C16" s="5" t="n">
        <x:v>0.82</x:v>
      </x:c>
      <x:c r="D16" s="7" t="n">
        <x:v>6.336862479760324</x:v>
      </x:c>
    </x:row>
    <x:row r="17" ht="15" hidden="0" customHeight="1">
      <x:c r="A17" s="5" t="n">
        <x:v>210</x:v>
      </x:c>
      <x:c r="B17" s="5" t="n">
        <x:v>390</x:v>
      </x:c>
      <x:c r="C17" s="5" t="n">
        <x:v>0.84</x:v>
      </x:c>
      <x:c r="D17" s="7" t="n">
        <x:v>6.537615</x:v>
      </x:c>
    </x:row>
    <x:row r="18" ht="15" hidden="0" customHeight="1">
      <x:c r="A18" s="5" t="n">
        <x:v>190</x:v>
      </x:c>
      <x:c r="B18" s="5" t="n">
        <x:v>290</x:v>
      </x:c>
      <x:c r="C18" s="5" t="n">
        <x:v>0.76</x:v>
      </x:c>
      <x:c r="D18" s="7" t="n">
        <x:v>6.3472563636363635</x:v>
      </x:c>
    </x:row>
    <x:row r="19" ht="15" hidden="0" customHeight="1">
      <x:c r="A19" s="5" t="n">
        <x:v>190</x:v>
      </x:c>
      <x:c r="B19" s="5" t="n">
        <x:v>290</x:v>
      </x:c>
      <x:c r="C19" s="5" t="n">
        <x:v>0.79</x:v>
      </x:c>
      <x:c r="D19" s="7" t="n">
        <x:v>6.724282727272727</x:v>
      </x:c>
    </x:row>
    <x:row r="20" ht="15" hidden="0" customHeight="1">
      <x:c r="A20" s="5" t="n">
        <x:v>190</x:v>
      </x:c>
      <x:c r="B20" s="5" t="n">
        <x:v>290</x:v>
      </x:c>
      <x:c r="C20" s="5" t="n">
        <x:v>0.82</x:v>
      </x:c>
      <x:c r="D20" s="7" t="n">
        <x:v>7.10130909090909</x:v>
      </x:c>
    </x:row>
    <x:row r="21" ht="15" hidden="0" customHeight="1">
      <x:c r="A21" s="5" t="n">
        <x:v>190</x:v>
      </x:c>
      <x:c r="B21" s="5" t="n">
        <x:v>290</x:v>
      </x:c>
      <x:c r="C21" s="5" t="n">
        <x:v>0.84</x:v>
      </x:c>
      <x:c r="D21" s="7" t="n">
        <x:v>7.352659999999999</x:v>
      </x:c>
    </x:row>
    <x:row r="22" ht="15" hidden="0" customHeight="1">
      <x:c r="A22" s="5" t="n">
        <x:v>190</x:v>
      </x:c>
      <x:c r="B22" s="5" t="n">
        <x:v>310</x:v>
      </x:c>
      <x:c r="C22" s="5" t="n">
        <x:v>0.76</x:v>
      </x:c>
      <x:c r="D22" s="7" t="n">
        <x:v>6.013536666666666</x:v>
      </x:c>
    </x:row>
    <x:row r="23" ht="15" hidden="0" customHeight="1">
      <x:c r="A23" s="5" t="n">
        <x:v>190</x:v>
      </x:c>
      <x:c r="B23" s="5" t="n">
        <x:v>310</x:v>
      </x:c>
      <x:c r="C23" s="5" t="n">
        <x:v>0.79</x:v>
      </x:c>
      <x:c r="D23" s="7" t="n">
        <x:v>6.429686666666666</x:v>
      </x:c>
    </x:row>
    <x:row r="24" ht="15" hidden="0" customHeight="1">
      <x:c r="A24" s="5" t="n">
        <x:v>190</x:v>
      </x:c>
      <x:c r="B24" s="5" t="n">
        <x:v>310</x:v>
      </x:c>
      <x:c r="C24" s="5" t="n">
        <x:v>0.82</x:v>
      </x:c>
      <x:c r="D24" s="7" t="n">
        <x:v>6.845836666666665</x:v>
      </x:c>
    </x:row>
    <x:row r="25" ht="15" hidden="0" customHeight="1">
      <x:c r="A25" s="5" t="n">
        <x:v>190</x:v>
      </x:c>
      <x:c r="B25" s="5" t="n">
        <x:v>310</x:v>
      </x:c>
      <x:c r="C25" s="5" t="n">
        <x:v>0.84</x:v>
      </x:c>
      <x:c r="D25" s="7" t="n">
        <x:v>7.12327</x:v>
      </x:c>
    </x:row>
    <x:row r="26" ht="15" hidden="0" customHeight="1">
      <x:c r="A26" s="5" t="n">
        <x:v>190</x:v>
      </x:c>
      <x:c r="B26" s="5" t="n">
        <x:v>350</x:v>
      </x:c>
      <x:c r="C26" s="5" t="n">
        <x:v>0.76</x:v>
      </x:c>
      <x:c r="D26" s="7" t="n">
        <x:v>5.577741177267739</x:v>
      </x:c>
    </x:row>
    <x:row r="27" ht="15" hidden="0" customHeight="1">
      <x:c r="A27" s="5" t="n">
        <x:v>190</x:v>
      </x:c>
      <x:c r="B27" s="5" t="n">
        <x:v>350</x:v>
      </x:c>
      <x:c r="C27" s="5" t="n">
        <x:v>0.79</x:v>
      </x:c>
      <x:c r="D27" s="7" t="n">
        <x:v>5.7936903562024185</x:v>
      </x:c>
    </x:row>
    <x:row r="28" ht="15" hidden="0" customHeight="1">
      <x:c r="A28" s="5" t="n">
        <x:v>190</x:v>
      </x:c>
      <x:c r="B28" s="5" t="n">
        <x:v>350</x:v>
      </x:c>
      <x:c r="C28" s="5" t="n">
        <x:v>0.82</x:v>
      </x:c>
      <x:c r="D28" s="7" t="n">
        <x:v>6.059269999999999</x:v>
      </x:c>
    </x:row>
    <x:row r="29" ht="15" hidden="0" customHeight="1">
      <x:c r="A29" s="5" t="n">
        <x:v>190</x:v>
      </x:c>
      <x:c r="B29" s="5" t="n">
        <x:v>350</x:v>
      </x:c>
      <x:c r="C29" s="5" t="n">
        <x:v>0.84</x:v>
      </x:c>
      <x:c r="D29" s="7" t="n">
        <x:v>6.3112699999999995</x:v>
      </x:c>
    </x:row>
    <x:row r="30" ht="15" hidden="0" customHeight="1">
      <x:c r="A30" s="5" t="n">
        <x:v>190</x:v>
      </x:c>
      <x:c r="B30" s="5" t="n">
        <x:v>390</x:v>
      </x:c>
      <x:c r="C30" s="5" t="n">
        <x:v>0.76</x:v>
      </x:c>
      <x:c r="D30" s="7" t="n">
        <x:v>5.635666666666666</x:v>
      </x:c>
    </x:row>
    <x:row r="31" ht="15" hidden="0" customHeight="1">
      <x:c r="A31" s="5" t="n">
        <x:v>190</x:v>
      </x:c>
      <x:c r="B31" s="5" t="n">
        <x:v>390</x:v>
      </x:c>
      <x:c r="C31" s="5" t="n">
        <x:v>0.79</x:v>
      </x:c>
      <x:c r="D31" s="7" t="n">
        <x:v>5.635666666666666</x:v>
      </x:c>
    </x:row>
    <x:row r="32" ht="15" hidden="0" customHeight="1">
      <x:c r="A32" s="5" t="n">
        <x:v>190</x:v>
      </x:c>
      <x:c r="B32" s="5" t="n">
        <x:v>390</x:v>
      </x:c>
      <x:c r="C32" s="5" t="n">
        <x:v>0.82</x:v>
      </x:c>
      <x:c r="D32" s="7" t="n">
        <x:v>5.692842295940908</x:v>
      </x:c>
    </x:row>
    <x:row r="33" ht="15" hidden="0" customHeight="1">
      <x:c r="A33" s="5" t="n">
        <x:v>190</x:v>
      </x:c>
      <x:c r="B33" s="5" t="n">
        <x:v>390</x:v>
      </x:c>
      <x:c r="C33" s="5" t="n">
        <x:v>0.84</x:v>
      </x:c>
      <x:c r="D33" s="7" t="n">
        <x:v>5.931754515780892</x:v>
      </x:c>
    </x:row>
    <x:row r="34" ht="15" hidden="0" customHeight="1">
      <x:c r="A34" s="5" t="n">
        <x:v>176</x:v>
      </x:c>
      <x:c r="B34" s="5" t="n">
        <x:v>290</x:v>
      </x:c>
      <x:c r="C34" s="5" t="n">
        <x:v>0.76</x:v>
      </x:c>
      <x:c r="D34" s="7" t="n">
        <x:v>6.237660969696969</x:v>
      </x:c>
    </x:row>
    <x:row r="35" ht="15" hidden="0" customHeight="1">
      <x:c r="A35" s="5" t="n">
        <x:v>176</x:v>
      </x:c>
      <x:c r="B35" s="5" t="n">
        <x:v>290</x:v>
      </x:c>
      <x:c r="C35" s="5" t="n">
        <x:v>0.79</x:v>
      </x:c>
      <x:c r="D35" s="7" t="n">
        <x:v>6.589404606060605</x:v>
      </x:c>
    </x:row>
    <x:row r="36" ht="15" hidden="0" customHeight="1">
      <x:c r="A36" s="5" t="n">
        <x:v>176</x:v>
      </x:c>
      <x:c r="B36" s="5" t="n">
        <x:v>290</x:v>
      </x:c>
      <x:c r="C36" s="5" t="n">
        <x:v>0.82</x:v>
      </x:c>
      <x:c r="D36" s="7" t="n">
        <x:v>6.941148242424242</x:v>
      </x:c>
    </x:row>
    <x:row r="37" ht="15" hidden="0" customHeight="1">
      <x:c r="A37" s="5" t="n">
        <x:v>176</x:v>
      </x:c>
      <x:c r="B37" s="5" t="n">
        <x:v>290</x:v>
      </x:c>
      <x:c r="C37" s="5" t="n">
        <x:v>0.84</x:v>
      </x:c>
      <x:c r="D37" s="7" t="n">
        <x:v>7.175643999999998</x:v>
      </x:c>
    </x:row>
    <x:row r="38" ht="15" hidden="0" customHeight="1">
      <x:c r="A38" s="5" t="n">
        <x:v>176</x:v>
      </x:c>
      <x:c r="B38" s="5" t="n">
        <x:v>310</x:v>
      </x:c>
      <x:c r="C38" s="5" t="n">
        <x:v>0.76</x:v>
      </x:c>
      <x:c r="D38" s="7" t="n">
        <x:v>5.860863368421052</x:v>
      </x:c>
    </x:row>
    <x:row r="39" ht="15" hidden="0" customHeight="1">
      <x:c r="A39" s="5" t="n">
        <x:v>176</x:v>
      </x:c>
      <x:c r="B39" s="5" t="n">
        <x:v>310</x:v>
      </x:c>
      <x:c r="C39" s="5" t="n">
        <x:v>0.79</x:v>
      </x:c>
      <x:c r="D39" s="7" t="n">
        <x:v>6.264383105263158</x:v>
      </x:c>
    </x:row>
    <x:row r="40" ht="15" hidden="0" customHeight="1">
      <x:c r="A40" s="5" t="n">
        <x:v>176</x:v>
      </x:c>
      <x:c r="B40" s="5" t="n">
        <x:v>310</x:v>
      </x:c>
      <x:c r="C40" s="5" t="n">
        <x:v>0.82</x:v>
      </x:c>
      <x:c r="D40" s="7" t="n">
        <x:v>6.667902842105262</x:v>
      </x:c>
    </x:row>
    <x:row r="41" ht="15" hidden="0" customHeight="1">
      <x:c r="A41" s="5" t="n">
        <x:v>176</x:v>
      </x:c>
      <x:c r="B41" s="5" t="n">
        <x:v>310</x:v>
      </x:c>
      <x:c r="C41" s="5" t="n">
        <x:v>0.84</x:v>
      </x:c>
      <x:c r="D41" s="7" t="n">
        <x:v>6.936915999999999</x:v>
      </x:c>
    </x:row>
    <x:row r="42" ht="15" hidden="0" customHeight="1">
      <x:c r="A42" s="5" t="n">
        <x:v>176</x:v>
      </x:c>
      <x:c r="B42" s="5" t="n">
        <x:v>350</x:v>
      </x:c>
      <x:c r="C42" s="5" t="n">
        <x:v>0.76</x:v>
      </x:c>
      <x:c r="D42" s="7" t="n">
        <x:v>5.259297784619943</x:v>
      </x:c>
    </x:row>
    <x:row r="43" ht="15" hidden="0" customHeight="1">
      <x:c r="A43" s="5" t="n">
        <x:v>176</x:v>
      </x:c>
      <x:c r="B43" s="5" t="n">
        <x:v>350</x:v>
      </x:c>
      <x:c r="C43" s="5" t="n">
        <x:v>0.79</x:v>
      </x:c>
      <x:c r="D43" s="7" t="n">
        <x:v>5.5021119999999994</x:v>
      </x:c>
    </x:row>
    <x:row r="44" ht="15" hidden="0" customHeight="1">
      <x:c r="A44" s="5" t="n">
        <x:v>176</x:v>
      </x:c>
      <x:c r="B44" s="5" t="n">
        <x:v>350</x:v>
      </x:c>
      <x:c r="C44" s="5" t="n">
        <x:v>0.82</x:v>
      </x:c>
      <x:c r="D44" s="7" t="n">
        <x:v>5.867511999999999</x:v>
      </x:c>
    </x:row>
    <x:row r="45" ht="15" hidden="0" customHeight="1">
      <x:c r="A45" s="5" t="n">
        <x:v>176</x:v>
      </x:c>
      <x:c r="B45" s="5" t="n">
        <x:v>350</x:v>
      </x:c>
      <x:c r="C45" s="5" t="n">
        <x:v>0.84</x:v>
      </x:c>
      <x:c r="D45" s="7" t="n">
        <x:v>6.111111999999999</x:v>
      </x:c>
    </x:row>
    <x:row r="46" ht="15" hidden="0" customHeight="1">
      <x:c r="A46" s="5" t="n">
        <x:v>176</x:v>
      </x:c>
      <x:c r="B46" s="5" t="n">
        <x:v>390</x:v>
      </x:c>
      <x:c r="C46" s="5" t="n">
        <x:v>0.76</x:v>
      </x:c>
      <x:c r="D46" s="7" t="n">
        <x:v>5.165866666666666</x:v>
      </x:c>
    </x:row>
    <x:row r="47" ht="15" hidden="0" customHeight="1">
      <x:c r="A47" s="5" t="n">
        <x:v>176</x:v>
      </x:c>
      <x:c r="B47" s="5" t="n">
        <x:v>390</x:v>
      </x:c>
      <x:c r="C47" s="5" t="n">
        <x:v>0.79</x:v>
      </x:c>
      <x:c r="D47" s="7" t="n">
        <x:v>5.235555977961884</x:v>
      </x:c>
    </x:row>
    <x:row r="48" ht="15" hidden="0" customHeight="1">
      <x:c r="A48" s="5" t="n">
        <x:v>176</x:v>
      </x:c>
      <x:c r="B48" s="5" t="n">
        <x:v>390</x:v>
      </x:c>
      <x:c r="C48" s="5" t="n">
        <x:v>0.82</x:v>
      </x:c>
      <x:c r="D48" s="7" t="n">
        <x:v>5.405540241379243</x:v>
      </x:c>
    </x:row>
    <x:row r="49" ht="15" hidden="0" customHeight="1">
      <x:c r="A49" s="6" t="n">
        <x:v>176</x:v>
      </x:c>
      <x:c r="B49" s="6" t="n">
        <x:v>390</x:v>
      </x:c>
      <x:c r="C49" s="6" t="n">
        <x:v>0.84</x:v>
      </x:c>
      <x:c r="D49" s="9" t="n">
        <x:v>5.591432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1" hidden="0" customWidth="1"/>
    <x:col min="3" max="3" width="75" hidden="0" customWidth="1"/>
  </x:cols>
  <x:sheetData>
    <x:row r="1" ht="15" hidden="0" customHeight="1">
      <x:c r="A1" s="4" t="str">
        <x:v>Source / item</x:v>
      </x:c>
      <x:c r="B1" s="4" t="str">
        <x:v>Use in this sensitivity</x:v>
      </x:c>
      <x:c r="C1" s="4" t="str">
        <x:v>URL / local file</x:v>
      </x:c>
    </x:row>
    <x:row r="2" ht="21.600000381469727" hidden="0" customHeight="1">
      <x:c r="A2" s="27" t="str">
        <x:v>9M-MRO Fuel Model V5.X</x:v>
      </x:c>
      <x:c r="B2" s="27" t="str">
        <x:v>Static Boeing-derived LRC, MRC, M0.84 and holding tables; 1.5% PDA; 870 kg/h/engine idle descent; 87.5 kg/h/engine packs-off saving; +37% climb response per 1,000 fpm as central case.</x:v>
      </x:c>
      <x:c r="C2" s="27" t="str">
        <x:v>downloads/MH370/9M-MRO Fuel Model V5.X.xlsm</x:v>
      </x:c>
    </x:row>
    <x:row r="3" ht="15" hidden="0" customHeight="1">
      <x:c r="A3" s="27" t="str">
        <x:v>Malaysia MH370 Safety Investigation</x:v>
      </x:c>
      <x:c r="B3" s="27" t="str">
        <x:v>Official source family for the unreliable military-radar height labels and the investigation record.</x:v>
      </x:c>
      <x:c r="C3" s="27" t="str">
        <x:v>https://www.mot.gov.my/en/aviation/reports/archived-report/mh370</x:v>
      </x:c>
    </x:row>
    <x:row r="4" ht="15" hidden="0" customHeight="1">
      <x:c r="A4" s="27" t="str">
        <x:v>ATSB MH370 investigation</x:v>
      </x:c>
      <x:c r="B4" s="27" t="str">
        <x:v>Documents the DSTG 6th-arc PDF, aircraft-dynamics/weather modelling and Boeing achievable-range comparison.</x:v>
      </x:c>
      <x:c r="C4" s="27" t="str">
        <x:v>https://www.atsb.gov.au/investigations/ae-2014-054</x:v>
      </x:c>
    </x:row>
    <x:row r="5" ht="15" hidden="0" customHeight="1">
      <x:c r="A5" s="27" t="str">
        <x:v>Davey et al. (2015)</x:v>
      </x:c>
      <x:c r="B5" s="27" t="str">
        <x:v>Radar prior at 18:01:49; 18:22 point not used numerically; note that the aircraft may have slowed and climbed after 18:02.</x:v>
      </x:c>
      <x:c r="C5" s="27" t="str">
        <x:v>downloads/MH370/Bayesian_Methods_MH370_Search_3Dec2015.pdf</x:v>
      </x:c>
    </x:row>
    <x:row r="6" ht="15" hidden="0" customHeight="1">
      <x:c r="A6" s="27" t="str">
        <x:v>Refined project estimator</x:v>
      </x:c>
      <x:c r="B6" s="27" t="str">
        <x:v>Reconstructed 00:11 BTO+BFO+RSL/gain posterior; random fast-BFO sigma 0.995 Hz.</x:v>
      </x:c>
      <x:c r="C6" s="27" t="str">
        <x:v>run_refined_bfo_0011_airborne.py</x:v>
      </x:c>
    </x:row>
    <x:row r="7" ht="15" hidden="0" customHeight="1">
      <x:c r="A7" s="27" t="str">
        <x:v>PP scenario</x:v>
      </x:c>
      <x:c r="B7" s="27" t="str">
        <x:v>Reported gap 18:03:09--18:15:25; 4,800-ft stress value; 29,500-ft reappearance. Values are not treated as reliable measured altitudes.</x:v>
      </x:c>
      <x:c r="C7" s="27" t="str">
        <x:v>build_mh370_paper_draft.py and user dissertation</x:v>
      </x:c>
    </x:row>
    <x:row r="8" ht="21.600000381469727" hidden="0" customHeight="1">
      <x:c r="A8" s="28" t="str">
        <x:v>Position inference limit</x:v>
      </x:c>
      <x:c r="B8" s="28" t="str">
        <x:v>The model treats the 18:15/18:22 track as a position/heading constraint, so PP influences the sixth arc through fuel feasibility rather than a post-radar catch-up distance.</x:v>
      </x:c>
      <x:c r="C8" s="28" t="str">
        <x:v>run_pp_descent_climb_sensitivity.py</x:v>
      </x:c>
    </x:row>
  </x:sheetData>
  <x:pageMargins left="0.7" right="0.7" top="0.75" bottom="0.75" header="0.3" footer="0.3"/>
</x:worksheet>
</file>